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7. Aplikace\SVJ Spojovací 557\svj-sprava\"/>
    </mc:Choice>
  </mc:AlternateContent>
  <xr:revisionPtr revIDLastSave="0" documentId="8_{3EE468A9-B9B7-4EE8-94B7-A0E05FA93F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Sheet1!$B$2:$AG$72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3" i="1" l="1"/>
  <c r="AH4" i="1"/>
  <c r="AH5" i="1"/>
  <c r="AH6" i="1"/>
  <c r="AH7" i="1"/>
  <c r="AH8" i="1"/>
  <c r="AH9" i="1"/>
  <c r="AH10" i="1"/>
  <c r="AH11" i="1"/>
  <c r="AH12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3" i="1"/>
  <c r="AF1" i="1"/>
  <c r="AG1" i="1" l="1"/>
</calcChain>
</file>

<file path=xl/sharedStrings.xml><?xml version="1.0" encoding="utf-8"?>
<sst xmlns="http://schemas.openxmlformats.org/spreadsheetml/2006/main" count="1413" uniqueCount="633">
  <si>
    <t>Var.symbol</t>
  </si>
  <si>
    <t>Jméno</t>
  </si>
  <si>
    <t>Příjmení</t>
  </si>
  <si>
    <t>Titul</t>
  </si>
  <si>
    <t>Ulice vchodu</t>
  </si>
  <si>
    <t xml:space="preserve">   Č.prost.</t>
  </si>
  <si>
    <t>E-mail</t>
  </si>
  <si>
    <t>Dt.přist.</t>
  </si>
  <si>
    <t>Dt.odst.</t>
  </si>
  <si>
    <t>Typ uživatele</t>
  </si>
  <si>
    <t>Typ prost.</t>
  </si>
  <si>
    <t>Evid.č.prost.</t>
  </si>
  <si>
    <t>Poschodí</t>
  </si>
  <si>
    <t>Podlaží</t>
  </si>
  <si>
    <t>PSČ</t>
  </si>
  <si>
    <t>Kontaktní ulice</t>
  </si>
  <si>
    <t>Kont. město</t>
  </si>
  <si>
    <t>Kont. PSČ</t>
  </si>
  <si>
    <t>Kont. stát</t>
  </si>
  <si>
    <t>Poč.byd.</t>
  </si>
  <si>
    <t>Poč.pokojů</t>
  </si>
  <si>
    <t>Telefon</t>
  </si>
  <si>
    <t>Mobil</t>
  </si>
  <si>
    <t>Kontaktní jméno</t>
  </si>
  <si>
    <t>Kontaktní příjmení</t>
  </si>
  <si>
    <t>Poznámka uživatele</t>
  </si>
  <si>
    <t>Poznámka osoby</t>
  </si>
  <si>
    <t>Hlavní účetní subjekt</t>
  </si>
  <si>
    <t>Užit. plocha</t>
  </si>
  <si>
    <t>Vyt. plocha</t>
  </si>
  <si>
    <t>Podíl pr.</t>
  </si>
  <si>
    <t>*</t>
  </si>
  <si>
    <t>2051711011</t>
  </si>
  <si>
    <t>Blanka</t>
  </si>
  <si>
    <t>Velechovská</t>
  </si>
  <si>
    <t>Spojovací 557/A</t>
  </si>
  <si>
    <t>blanka.velechovska@seznam.cz</t>
  </si>
  <si>
    <t>Vlastník</t>
  </si>
  <si>
    <t>BJ</t>
  </si>
  <si>
    <t>101</t>
  </si>
  <si>
    <t>28923</t>
  </si>
  <si>
    <t>Spojovací 557</t>
  </si>
  <si>
    <t>Spojovací 557/</t>
  </si>
  <si>
    <t>Milovice</t>
  </si>
  <si>
    <t>Česká republika</t>
  </si>
  <si>
    <t>Společenství vlastníků jednotek domu č.p. 557</t>
  </si>
  <si>
    <t>2051711021</t>
  </si>
  <si>
    <t>Jana</t>
  </si>
  <si>
    <t>Somrová</t>
  </si>
  <si>
    <t>jsomrova@seznam.cz</t>
  </si>
  <si>
    <t>102</t>
  </si>
  <si>
    <t>Spojovací 1306</t>
  </si>
  <si>
    <t>28924</t>
  </si>
  <si>
    <t>420604758559</t>
  </si>
  <si>
    <t>2051711111</t>
  </si>
  <si>
    <t>Jan</t>
  </si>
  <si>
    <t>Struž</t>
  </si>
  <si>
    <t>Ing.</t>
  </si>
  <si>
    <t>dipro-cz@email.cz</t>
  </si>
  <si>
    <t>111</t>
  </si>
  <si>
    <t>420603417797</t>
  </si>
  <si>
    <t>603 417 797
dipro-cz@email.cz
jan.struz@outlook.cz    
05/2011 - poplatky za právní služby - 1.052,-Kč  - AK Slomková - Slomek
07/2014 - vymáhání dluhu - 10.983,-Kč - Mgr. Motl</t>
  </si>
  <si>
    <t xml:space="preserve"> 603 417 797
dipro-cz@email.cz
jan.struz@outlook.cz    
05/2011 - poplatky za právní služby - 1.052,-Kč  - AK Slomková - Slomek
07/2014 - vymáhání dluhu - 10.983,-Kč - Mgr. Motl </t>
  </si>
  <si>
    <t>2051711121</t>
  </si>
  <si>
    <t>Hana</t>
  </si>
  <si>
    <t>Vondráčková</t>
  </si>
  <si>
    <t>hajdalka@centrum.cz</t>
  </si>
  <si>
    <t>112</t>
  </si>
  <si>
    <t>V Chaloupkách 114</t>
  </si>
  <si>
    <t>Kostelec nad Labem</t>
  </si>
  <si>
    <t>27713</t>
  </si>
  <si>
    <t>+420603801159</t>
  </si>
  <si>
    <t xml:space="preserve"> 603 801 159
hajdalka@centrum.cz
 </t>
  </si>
  <si>
    <t>2051711131</t>
  </si>
  <si>
    <t>Michal</t>
  </si>
  <si>
    <t>Barák</t>
  </si>
  <si>
    <t>michalbarak1985@gmail.com</t>
  </si>
  <si>
    <t>113</t>
  </si>
  <si>
    <t>28. října 991</t>
  </si>
  <si>
    <t>Lysá nad Labem</t>
  </si>
  <si>
    <t>28922</t>
  </si>
  <si>
    <t>420777106667</t>
  </si>
  <si>
    <t xml:space="preserve">777 106 667   
michalbarak1985@gmail.com   </t>
  </si>
  <si>
    <t xml:space="preserve"> 777 106 667   
michalbarak1985@gmail.com    </t>
  </si>
  <si>
    <t>2051711212</t>
  </si>
  <si>
    <t>Lenka</t>
  </si>
  <si>
    <t>Kolářová</t>
  </si>
  <si>
    <t>Kylarova.L@seznam.cz</t>
  </si>
  <si>
    <t>121</t>
  </si>
  <si>
    <t>Rakouská 714</t>
  </si>
  <si>
    <t>420737506756</t>
  </si>
  <si>
    <t>737 506 756
Kylarova.L@seznam.cz</t>
  </si>
  <si>
    <t xml:space="preserve"> 737 506 756
Kylarova.L@seznam.cz </t>
  </si>
  <si>
    <t>2051711221</t>
  </si>
  <si>
    <t>Martina</t>
  </si>
  <si>
    <t>Erbenová</t>
  </si>
  <si>
    <t>erbenova.martina@seznam.cz</t>
  </si>
  <si>
    <t>122</t>
  </si>
  <si>
    <t>Tyršova 1520</t>
  </si>
  <si>
    <t>420733637198</t>
  </si>
  <si>
    <t>733 637 198
erbenova.martina@seznam.cz
podnájemníci:
Kristýna Stankeová, Lukáš Bičiště, trvale bytem Dukelských Hrdinů 469/25, Praha 7, 17000</t>
  </si>
  <si>
    <t xml:space="preserve"> 733 637 198
erbenova.martina@seznam.cz
podnájemníci:
Kristýna Stankeová, Lukáš Bičiště, trvale bytem Dukelských Hrdinů 469/25, Praha 7, 17000 </t>
  </si>
  <si>
    <t>2051711231</t>
  </si>
  <si>
    <t>Mikuláš</t>
  </si>
  <si>
    <t>Fekete</t>
  </si>
  <si>
    <t>fekete.mikulas@seznam.cz</t>
  </si>
  <si>
    <t>123</t>
  </si>
  <si>
    <t>420602224115</t>
  </si>
  <si>
    <t>602 224 115
fekete.mikulas@seznam.cz</t>
  </si>
  <si>
    <t xml:space="preserve"> 602 224 115
fekete.mikulas@seznam.cz </t>
  </si>
  <si>
    <t>2051711311</t>
  </si>
  <si>
    <t>Roman</t>
  </si>
  <si>
    <t>Drachnev</t>
  </si>
  <si>
    <t>zanegina@gmail.com</t>
  </si>
  <si>
    <t>131</t>
  </si>
  <si>
    <t>420720489028</t>
  </si>
  <si>
    <t xml:space="preserve"> Zanegina
720 489 028
zanegina@gmail.com </t>
  </si>
  <si>
    <t>2051711321</t>
  </si>
  <si>
    <t>Lambert</t>
  </si>
  <si>
    <t>Tašký</t>
  </si>
  <si>
    <t>tasky.lambert@azet.sk</t>
  </si>
  <si>
    <t>132</t>
  </si>
  <si>
    <t>Slezská 609</t>
  </si>
  <si>
    <t>Vřesina</t>
  </si>
  <si>
    <t>74285</t>
  </si>
  <si>
    <t>421940529465</t>
  </si>
  <si>
    <t>421 940 529 465
tasky.lambert@azet.sk
nájemníci od 1.11.2019
Arifi Eva
U Tvrze 1546/8
405 02 Děčín
Dudy Vojtěch
Kochánky 103,
294 74 Mladá Boleslav</t>
  </si>
  <si>
    <t xml:space="preserve"> 421 940 529 465
tasky.lambert@azet.sk
nájemníci od 1.11.2019
Arifi Eva
U Tvrze 1546/8
405 02 Děčín
Dudy Vojtěch
Kochánky 103,
294 74 Mladá Boleslav </t>
  </si>
  <si>
    <t>2051711331</t>
  </si>
  <si>
    <t>Marek</t>
  </si>
  <si>
    <t>Dvořák</t>
  </si>
  <si>
    <t>milovice.dvorak@seznam.cz</t>
  </si>
  <si>
    <t>133</t>
  </si>
  <si>
    <t>420602279818</t>
  </si>
  <si>
    <t xml:space="preserve"> 602 279 818
milovice.dvorak@seznam.cz       
 </t>
  </si>
  <si>
    <t>2051711412</t>
  </si>
  <si>
    <t>Hruška</t>
  </si>
  <si>
    <t>141</t>
  </si>
  <si>
    <t>730959415</t>
  </si>
  <si>
    <t>420730959450</t>
  </si>
  <si>
    <t>Hruška
730 959 450
hurky12@azet.sk
Balogová
730 959 415
bejbi741@azet.sk</t>
  </si>
  <si>
    <t xml:space="preserve"> Hruška
730 959 450
hurky12@azet.sk
Balogová
730 959 415
bejbi741@azet.sk </t>
  </si>
  <si>
    <t>2051711421</t>
  </si>
  <si>
    <t>Milan</t>
  </si>
  <si>
    <t>Slavík</t>
  </si>
  <si>
    <t>slavikova.vera@seznam.cz</t>
  </si>
  <si>
    <t>142</t>
  </si>
  <si>
    <t>420602953415</t>
  </si>
  <si>
    <t>Slavík         
602 953 415
Slavíková   
607 808 318
slavikova.vera@seznam.cz</t>
  </si>
  <si>
    <t xml:space="preserve"> Slavík         
602 953 415
Slavíková   
607 808 318
slavikova.vera@seznam.cz </t>
  </si>
  <si>
    <t>2051711431</t>
  </si>
  <si>
    <t>Kellner</t>
  </si>
  <si>
    <t>jarmila.kaiserova@seznam.cz</t>
  </si>
  <si>
    <t>143</t>
  </si>
  <si>
    <t>602425924</t>
  </si>
  <si>
    <t>420607023362</t>
  </si>
  <si>
    <t>607 023 362
gkellner@centrum.cz
szmekvaclav@seznam.cz
!!!  vše kolem bytu řeší p. Kaiserová -  jarmila.kaiserova@seznam.cz, tel: 602 425 924
podnájem od 07/2020:
Koubová Marie - bytem Dvorce 12, Lysá nad Labem, 289 22, tel. 725 361 525
+ jedna...</t>
  </si>
  <si>
    <t xml:space="preserve"> 607 023 362
gkellner@centrum.cz
szmekvaclav@seznam.cz
!!!  vše kolem bytu řeší p. Kaiserová -  jarmila.kaiserova@seznam.cz, tel: 602 425 924
podnájem od 07/2020:
Koubová Marie - bytem Dvorce 12, Lysá nad Labem, 289 22, tel. 725 361 525
+ jedna osoba
VYÚČTOVÁNÍ MAILEM, PŘEPLATEK NA ÚČET!!
 </t>
  </si>
  <si>
    <t>2051722011</t>
  </si>
  <si>
    <t>Ladislav</t>
  </si>
  <si>
    <t>Jozefčák</t>
  </si>
  <si>
    <t>Spojovací 557/B</t>
  </si>
  <si>
    <t>laco.jozefcak@seznam.cz</t>
  </si>
  <si>
    <t>201</t>
  </si>
  <si>
    <t>420728103303</t>
  </si>
  <si>
    <t xml:space="preserve"> 728 103 303
laco.jozefcak@seznam.cz
 </t>
  </si>
  <si>
    <t>2051722021</t>
  </si>
  <si>
    <t>Eva</t>
  </si>
  <si>
    <t>Stárková</t>
  </si>
  <si>
    <t>DiS.</t>
  </si>
  <si>
    <t>p.evka@seznam.cz</t>
  </si>
  <si>
    <t>202</t>
  </si>
  <si>
    <t>Kaštanová 679</t>
  </si>
  <si>
    <t>420731708923</t>
  </si>
  <si>
    <t xml:space="preserve">dříve Postředníková
731 708 923
p.evka@seznam.cz    
podnájem:
Jarmila Grynová - matka
737 582 890
</t>
  </si>
  <si>
    <t xml:space="preserve"> dříve Postředníková
731 708 923
p.evka@seznam.cz    
podnájem:
Jarmila Grynová - matka
737 582 890
 </t>
  </si>
  <si>
    <t>2051722111</t>
  </si>
  <si>
    <t>Trnková</t>
  </si>
  <si>
    <t>Lenka.Trnkova@fs.mfcr.cz</t>
  </si>
  <si>
    <t>211</t>
  </si>
  <si>
    <t>Topolová 956</t>
  </si>
  <si>
    <t>420775289979</t>
  </si>
  <si>
    <t>775 289 979    
Lenka.Trnkova@fs.mfcr.cz       
Paní zemřela</t>
  </si>
  <si>
    <t xml:space="preserve"> 775 289 979    
Lenka.Trnkova@fs.mfcr.cz       
Paní zemřela </t>
  </si>
  <si>
    <t>2051722121</t>
  </si>
  <si>
    <t>Tomáš</t>
  </si>
  <si>
    <t>Búran</t>
  </si>
  <si>
    <t>tomasburan@seznam.cz</t>
  </si>
  <si>
    <t>212</t>
  </si>
  <si>
    <t>733 228 204</t>
  </si>
  <si>
    <t>420736676225</t>
  </si>
  <si>
    <t>Búran
736 676 225
tomasburan@seznam.cz
Búranová
733 228 204</t>
  </si>
  <si>
    <t xml:space="preserve"> Búran
736 676 225
tomasburan@seznam.cz
Búranová
733 228 204 </t>
  </si>
  <si>
    <t>2051722132</t>
  </si>
  <si>
    <t>Marušková</t>
  </si>
  <si>
    <t>blanka.maruskova@sko-energo.cz</t>
  </si>
  <si>
    <t>213</t>
  </si>
  <si>
    <t>Brodecká 41</t>
  </si>
  <si>
    <t>Luštěnice</t>
  </si>
  <si>
    <t>29442</t>
  </si>
  <si>
    <t>2051722213</t>
  </si>
  <si>
    <t>Romana</t>
  </si>
  <si>
    <t>Buriánová</t>
  </si>
  <si>
    <t>Mgr.</t>
  </si>
  <si>
    <t>romca.buri@seznam.cz</t>
  </si>
  <si>
    <t>221</t>
  </si>
  <si>
    <t>Plantáž 2526</t>
  </si>
  <si>
    <t>Brandýs nad Labem</t>
  </si>
  <si>
    <t>25001</t>
  </si>
  <si>
    <t>420603767138</t>
  </si>
  <si>
    <t>2051722223</t>
  </si>
  <si>
    <t>Liubov</t>
  </si>
  <si>
    <t>Bonka</t>
  </si>
  <si>
    <t>Bonka2726@gmail.com</t>
  </si>
  <si>
    <t>222</t>
  </si>
  <si>
    <t>420773145855</t>
  </si>
  <si>
    <t>2051722231</t>
  </si>
  <si>
    <t>Olivie</t>
  </si>
  <si>
    <t>Rubášová</t>
  </si>
  <si>
    <t>olivie.rubasova@corinthia.com</t>
  </si>
  <si>
    <t>223</t>
  </si>
  <si>
    <t>Školská 3110</t>
  </si>
  <si>
    <t>+420736525683</t>
  </si>
  <si>
    <t>Ing. Vít Sklenář - otec, dříve majitel bytu
vitsklenar17@gmail.com
sklenar@alphalink.com.au     - trvale žije v Austrálii
Vit.Sklenar2@de.bosch.com 
+61 413 873 875
+ 613 9720 0535
Tel. +49(981)54-43345 
Fax +49(711)811-51043345
č.ú. 284860001/5...</t>
  </si>
  <si>
    <t xml:space="preserve"> dcera - Olívie  Rubášová  736 525 683
olivie.rubasova@corinthia.com
Školska 3110 
Milovice nad Labem
289 23
Jan Rubáš  honza.rubas@gmail.com
vitsklenar17@gmail.com
sklenar@alphalink.com.au     - trvale žije v Austrálii
Vit.Sklenar2@de.bosch.com
+61 413 873 875
+ 613 9720 0535
Tel. +49(981)54-43345 
Fax +49(711)811-51043345
č.ú. 284860001/5500
podnájem 02/2017:
Jaroslav Tříska
Pavlína Třísková
 </t>
  </si>
  <si>
    <t>2051722311</t>
  </si>
  <si>
    <t>Steidlová</t>
  </si>
  <si>
    <t>steidlovablanka@seznam.cz</t>
  </si>
  <si>
    <t>231</t>
  </si>
  <si>
    <t>Suchardova 492</t>
  </si>
  <si>
    <t>420604728249</t>
  </si>
  <si>
    <t xml:space="preserve">604 728 249
steidlovablanka@centrum.cz
podnájemník:
Juhásová
776 340 318
odpady 2015 - hradí v Suchardova 492 - změnit po nahlášení podnájemníků!!!
</t>
  </si>
  <si>
    <t xml:space="preserve"> 604 728 249
steidlovablanka@centrum.cz
poslat vyúčtování mailem
podnájemník:
Juhásová
776 340 318
odpady 2015 - hradí v Suchardova 492 - změnit po nahlášení podnájemníků!!!
 </t>
  </si>
  <si>
    <t>2051722321</t>
  </si>
  <si>
    <t>Luboš</t>
  </si>
  <si>
    <t>Bebej</t>
  </si>
  <si>
    <t>lubos.bebej@seznam.cz</t>
  </si>
  <si>
    <t>232</t>
  </si>
  <si>
    <t>420775682913</t>
  </si>
  <si>
    <t>775 682 913 - ??? ozval se někdo jiný--....
lubos.bebej@seznam.cz</t>
  </si>
  <si>
    <t xml:space="preserve"> 775 682 913 - ??? ozval se někdo jiný--....
lubos.bebej@seznam.cz </t>
  </si>
  <si>
    <t>2051722332</t>
  </si>
  <si>
    <t>Dzmitry</t>
  </si>
  <si>
    <t>Pashkevich</t>
  </si>
  <si>
    <t>eva.pashkevich@gmail.com</t>
  </si>
  <si>
    <t>233</t>
  </si>
  <si>
    <t>Lamačova 857/36</t>
  </si>
  <si>
    <t>Praha 5 Hlubočepy</t>
  </si>
  <si>
    <t>15200</t>
  </si>
  <si>
    <t>+420776110679</t>
  </si>
  <si>
    <t>2051722413</t>
  </si>
  <si>
    <t>Zuzana</t>
  </si>
  <si>
    <t>Hrdinová</t>
  </si>
  <si>
    <t>z.hrdinova@email.cz</t>
  </si>
  <si>
    <t>241</t>
  </si>
  <si>
    <t>Luční 1148/1</t>
  </si>
  <si>
    <t>Buštěhrad</t>
  </si>
  <si>
    <t>27343</t>
  </si>
  <si>
    <t>+420607163752</t>
  </si>
  <si>
    <t>2051722421</t>
  </si>
  <si>
    <t>Kateřina</t>
  </si>
  <si>
    <t>Foglová Tyrychtrová</t>
  </si>
  <si>
    <t>tyrychtrovka@seznam.cz</t>
  </si>
  <si>
    <t>242</t>
  </si>
  <si>
    <t>Sobkovice 111</t>
  </si>
  <si>
    <t>Jablonné nad Orlicí</t>
  </si>
  <si>
    <t>56164</t>
  </si>
  <si>
    <t>420606664967</t>
  </si>
  <si>
    <t xml:space="preserve">606 664 967
Tyrychtrovka@seznam.cz
Grof
731 310 500
grof.zdenek@email.cz
</t>
  </si>
  <si>
    <t xml:space="preserve"> 606 664 967
Tyrychtrovka@seznam.cz
Grof
731 310 500
grof.zdenek@email.cz
 </t>
  </si>
  <si>
    <t>2051722431</t>
  </si>
  <si>
    <t>Sedláková</t>
  </si>
  <si>
    <t>243</t>
  </si>
  <si>
    <t>420720218860</t>
  </si>
  <si>
    <t>720 218 860</t>
  </si>
  <si>
    <t xml:space="preserve"> 720 218 860 </t>
  </si>
  <si>
    <t>2051733012</t>
  </si>
  <si>
    <t>Petr</t>
  </si>
  <si>
    <t>Novák</t>
  </si>
  <si>
    <t>Spojovací 557/C</t>
  </si>
  <si>
    <t>petrbac@seznam.cz</t>
  </si>
  <si>
    <t>301</t>
  </si>
  <si>
    <t>731 597 071</t>
  </si>
  <si>
    <t>420731597066</t>
  </si>
  <si>
    <t xml:space="preserve"> 731 597 066  
petrbac@seznam.cz   
Žďár , Břehy  č.p. 20, okr. Mladá Boleslav </t>
  </si>
  <si>
    <t>2051733021</t>
  </si>
  <si>
    <t>Jiří</t>
  </si>
  <si>
    <t>Prášek</t>
  </si>
  <si>
    <t>302</t>
  </si>
  <si>
    <t>420728359262</t>
  </si>
  <si>
    <t>728 359 262</t>
  </si>
  <si>
    <t xml:space="preserve"> 728 359 262 </t>
  </si>
  <si>
    <t>2051733111</t>
  </si>
  <si>
    <t>Martin</t>
  </si>
  <si>
    <t>Luňák</t>
  </si>
  <si>
    <t>martin.lunak@rkpolabi.cz</t>
  </si>
  <si>
    <t>311</t>
  </si>
  <si>
    <t>Sídliště 1459</t>
  </si>
  <si>
    <t>420777047256</t>
  </si>
  <si>
    <t>777 047 256   
pujdemnaryby@centrum.cz  
martin.lunak@mvreality.cz</t>
  </si>
  <si>
    <t xml:space="preserve"> 777 047 256   
pujdemnaryby@centrum.cz  
martin.lunak@mvreality.cz </t>
  </si>
  <si>
    <t>2051733121</t>
  </si>
  <si>
    <t>Pavel</t>
  </si>
  <si>
    <t>Babůrek</t>
  </si>
  <si>
    <t>312</t>
  </si>
  <si>
    <t>420739622439</t>
  </si>
  <si>
    <t>Babůrek
739 622 439
Babůrková
775 958 544
baburkovavladimira@gmail.com</t>
  </si>
  <si>
    <t xml:space="preserve"> Babůrek
739 622 439
Babůrková
775 958 544
baburkovavladimira@gmail.com </t>
  </si>
  <si>
    <t>2051733133</t>
  </si>
  <si>
    <t>Eliška</t>
  </si>
  <si>
    <t>Drunecká</t>
  </si>
  <si>
    <t>Eliska.Drunecka@seznam.cz</t>
  </si>
  <si>
    <t>313</t>
  </si>
  <si>
    <t>+420739282245</t>
  </si>
  <si>
    <t>2051733211</t>
  </si>
  <si>
    <t>Zdeněk</t>
  </si>
  <si>
    <t>Zůbek</t>
  </si>
  <si>
    <t>zdenek.zubek@seznam.cz</t>
  </si>
  <si>
    <t>321</t>
  </si>
  <si>
    <t>420724044602</t>
  </si>
  <si>
    <t>724 044 602
zdenek.zubek@seznam.cz
dluh uhradí do 31.7.2015
zaplacena fa za předžalobní upomínku Motl Kč 2355,-
PŘEPLATEK Z VYÚ 2019 NEVYPLÁCET!!! - NECHAT V PŘEPISECH V PŘEPLATKU!!</t>
  </si>
  <si>
    <t xml:space="preserve">724 044 602
zdenek.zubek@seznam.cz
dluh uhradí do 31.7.2015
zaplacena fa za předžalobní upomínku Motl Kč 2355,-
PŘEPLATEK Z VYÚ 2019 NEVYPLÁCET!!! - NECHAT V PŘEPISECH V PŘEPLATKU!! </t>
  </si>
  <si>
    <t>2051733221</t>
  </si>
  <si>
    <t>Masaryk</t>
  </si>
  <si>
    <t>masaryk.z@seznam.cz</t>
  </si>
  <si>
    <t>322</t>
  </si>
  <si>
    <t>604 613 862</t>
  </si>
  <si>
    <t>+420725721417</t>
  </si>
  <si>
    <t>Masaryk
725 721 417
zdenek.masaryk@cdcargo.cz
Masaryková
604 613 862
lenka.masaryk@seznam.cz</t>
  </si>
  <si>
    <t xml:space="preserve"> Masaryk
725 721 417
lenka.masaryk@seznam.cz
Masaryková
604 613 862
lenka.masaryk@seznam.cz </t>
  </si>
  <si>
    <t>2051733231</t>
  </si>
  <si>
    <t>Mazurová</t>
  </si>
  <si>
    <t>mazurova.zuzana@email.cz</t>
  </si>
  <si>
    <t>323</t>
  </si>
  <si>
    <t>420739396776</t>
  </si>
  <si>
    <t xml:space="preserve"> 739 396 776
mazurova.zuzana@email.cz  </t>
  </si>
  <si>
    <t>2051733312</t>
  </si>
  <si>
    <t>Vyhlídko</t>
  </si>
  <si>
    <t>tomas.vyhlidko@seznam.cz</t>
  </si>
  <si>
    <t>331</t>
  </si>
  <si>
    <t>Fuksova 2015</t>
  </si>
  <si>
    <t>420725071808</t>
  </si>
  <si>
    <t xml:space="preserve">725 071 808
tomas.vyhlidko@seznam.cz    
nájemník -  Michaela Srbová , adresa: Kamenné Zbořží 165
nájemník - Petr Stojka,  adresa: Náměstí Přemyslovců 163, Nymburk
</t>
  </si>
  <si>
    <t xml:space="preserve"> 725 071 808
tomas.vyhlidko@seznam.cz    
nájemník -  Michaela Srbová , adresa: Kamenné Zbořží 165
nájemník - Petr Stojka,  adresa: Náměstí Přemyslovců 163, Nymburk
 </t>
  </si>
  <si>
    <t>2051733322</t>
  </si>
  <si>
    <t>Helena</t>
  </si>
  <si>
    <t>Pavelková</t>
  </si>
  <si>
    <t>pavelkova.helca@seznam.cz</t>
  </si>
  <si>
    <t>332</t>
  </si>
  <si>
    <t>Zbirohy 26</t>
  </si>
  <si>
    <t>Železný Brod</t>
  </si>
  <si>
    <t>46822</t>
  </si>
  <si>
    <t>420732227766</t>
  </si>
  <si>
    <t>732 227 766
pavelkova.helca@seznam.cz</t>
  </si>
  <si>
    <t xml:space="preserve"> 732 227 766
pavelkova.helca@seznam.cz </t>
  </si>
  <si>
    <t>2051733332</t>
  </si>
  <si>
    <t>Požár</t>
  </si>
  <si>
    <t>pozar.thomas@centrum.cz</t>
  </si>
  <si>
    <t>333</t>
  </si>
  <si>
    <t>420604501180</t>
  </si>
  <si>
    <t>604 501 180
pozar.thomas@centrum.cz</t>
  </si>
  <si>
    <t xml:space="preserve"> 604 501 180
pozar.thomas@centrum.cz </t>
  </si>
  <si>
    <t>2051733412</t>
  </si>
  <si>
    <t>Juraj</t>
  </si>
  <si>
    <t>Jehlár</t>
  </si>
  <si>
    <t>jehlar@seznam.cz</t>
  </si>
  <si>
    <t>341</t>
  </si>
  <si>
    <t>Ostravská 452</t>
  </si>
  <si>
    <t>420603378085</t>
  </si>
  <si>
    <t>2051733421</t>
  </si>
  <si>
    <t>Alena</t>
  </si>
  <si>
    <t>Kvasničková</t>
  </si>
  <si>
    <t>kvasnickova.alena.cz@seznam.cz</t>
  </si>
  <si>
    <t>342</t>
  </si>
  <si>
    <t>420723440453</t>
  </si>
  <si>
    <t>Kvasnička
723 440 453
Kvasik@seznam.cz
kvasnickova.alena.cz@seznam.cz</t>
  </si>
  <si>
    <t xml:space="preserve"> Kvasnička
723 440 453
Kvasik@seznam.cz
kvasnickova.alena.cz@seznam.cz </t>
  </si>
  <si>
    <t>2051733432</t>
  </si>
  <si>
    <t>Thiele</t>
  </si>
  <si>
    <t>jiri.thiele@gmail.com</t>
  </si>
  <si>
    <t>343</t>
  </si>
  <si>
    <t>Prokopova 519</t>
  </si>
  <si>
    <t>Sadská</t>
  </si>
  <si>
    <t>28912</t>
  </si>
  <si>
    <t>721195628</t>
  </si>
  <si>
    <t>721 195 628
jiri.thiele@gmail.com</t>
  </si>
  <si>
    <t xml:space="preserve"> 721 195 628
jiri.thiele@gmail.com </t>
  </si>
  <si>
    <t>2051744011</t>
  </si>
  <si>
    <t>Himpl</t>
  </si>
  <si>
    <t>Spojovací 557/D</t>
  </si>
  <si>
    <t>milan.himpl@email.cz</t>
  </si>
  <si>
    <t>401</t>
  </si>
  <si>
    <t>420603424116</t>
  </si>
  <si>
    <t>Milan Himpl              603 424 116            milan.himpl@email.cz, Milan.HIMPL@rb.cz
Šárka Himplová       603 552 301      sarka.himplova@email.cz
od října 2014 budou chodit platby ve výši Kč 4.000,-</t>
  </si>
  <si>
    <t xml:space="preserve"> Milan Himpl              603 424 116            milan.himpl@email.cz, Milan.HIMPL@rb.cz
Šárka Himplová       603 552 301      sarka.himplova@email.cz
od října 2014 budou chodit platby ve výši Kč 4.000,- </t>
  </si>
  <si>
    <t>2051744022</t>
  </si>
  <si>
    <t>nojiri@seznam.cz</t>
  </si>
  <si>
    <t>402</t>
  </si>
  <si>
    <t>Pod lysinami 480/16</t>
  </si>
  <si>
    <t>Hodkovičky</t>
  </si>
  <si>
    <t>14700</t>
  </si>
  <si>
    <t>syn původního majitele, získáno dědickým řízením</t>
  </si>
  <si>
    <t xml:space="preserve"> nedoplatek 800 Kč za prosinec 2009, pan Novák zemřel, vyřizuje jeho syn. /dědické řízení ) tel. 607611716, nojiri@seznam.cz</t>
  </si>
  <si>
    <t>2051744111</t>
  </si>
  <si>
    <t>Libuše</t>
  </si>
  <si>
    <t>Rohlíčková</t>
  </si>
  <si>
    <t>lilia61@seznam.cz</t>
  </si>
  <si>
    <t>411</t>
  </si>
  <si>
    <t>420775178776</t>
  </si>
  <si>
    <t xml:space="preserve"> 775 178 776
tomas.rohlicek@seznam.cz </t>
  </si>
  <si>
    <t>2051744121</t>
  </si>
  <si>
    <t>Monika</t>
  </si>
  <si>
    <t>Karbanová</t>
  </si>
  <si>
    <t>akinom.007@seznam.cz</t>
  </si>
  <si>
    <t>412</t>
  </si>
  <si>
    <t>420603379127</t>
  </si>
  <si>
    <t>nezap. část 10/2009 - 720 Kč
603 379 127
akinom.007@seznam.cz                       
Ota Procházka - 724 443 768
otaprochazka@seznam.cz</t>
  </si>
  <si>
    <t xml:space="preserve"> nezap. část 10/2009 - 720 Kč
603 379 127
akinom.007@seznam.cz                       
Ota Procházka - 724 443 768
otaprochazka@seznam.cz </t>
  </si>
  <si>
    <t>2051744132</t>
  </si>
  <si>
    <t>Dmytro</t>
  </si>
  <si>
    <t>Reznik</t>
  </si>
  <si>
    <t>bondardasha@seznam.cz</t>
  </si>
  <si>
    <t>413</t>
  </si>
  <si>
    <t>Sellnerova 276</t>
  </si>
  <si>
    <t>Mladá Boleslav</t>
  </si>
  <si>
    <t>29301</t>
  </si>
  <si>
    <t>Černá Hora</t>
  </si>
  <si>
    <t>2051744211</t>
  </si>
  <si>
    <t>Lucie</t>
  </si>
  <si>
    <t>Mašková</t>
  </si>
  <si>
    <t>LucieM144@seznam.cz</t>
  </si>
  <si>
    <t>421</t>
  </si>
  <si>
    <t>420607896842</t>
  </si>
  <si>
    <t xml:space="preserve">607 896 842
LucieM144@seznam.cz
</t>
  </si>
  <si>
    <t xml:space="preserve"> 607 896 842
LucieM144@seznam.cz
 </t>
  </si>
  <si>
    <t>2051744222</t>
  </si>
  <si>
    <t>Jakub</t>
  </si>
  <si>
    <t>Mašek</t>
  </si>
  <si>
    <t>masekkuba@centrum.cz</t>
  </si>
  <si>
    <t>422</t>
  </si>
  <si>
    <t>420730861676</t>
  </si>
  <si>
    <t xml:space="preserve"> 730 861 676
masekkuba@centrum.cz       
 </t>
  </si>
  <si>
    <t>2051744231</t>
  </si>
  <si>
    <t>Miroslav</t>
  </si>
  <si>
    <t>Knytl</t>
  </si>
  <si>
    <t>Dis.</t>
  </si>
  <si>
    <t>miroslavknytl@seznam.cz</t>
  </si>
  <si>
    <t>423</t>
  </si>
  <si>
    <t>420736213244</t>
  </si>
  <si>
    <t>736 213 244
MiroslavKnytl@seznam.cz
miroslav.knytl@czloko.cz</t>
  </si>
  <si>
    <t xml:space="preserve"> 736 213 244
MiroslavKnytl@seznam.cz
miroslav.knytl@czloko.cz </t>
  </si>
  <si>
    <t>2051744311</t>
  </si>
  <si>
    <t>Jaroslav</t>
  </si>
  <si>
    <t>jar.dvorak@seznam.cz</t>
  </si>
  <si>
    <t>431</t>
  </si>
  <si>
    <t>Borek 108</t>
  </si>
  <si>
    <t>Borek</t>
  </si>
  <si>
    <t>27714</t>
  </si>
  <si>
    <t>420733618711</t>
  </si>
  <si>
    <t>733 618 711   
jar.dvorak@seznam.cz    
nájemce:
Monika Mžiková 702 892 676
Jan Kozojed - syn</t>
  </si>
  <si>
    <t xml:space="preserve"> 733 618 711   
jar.dvorak@seznam.cz    
nájemce:
Monika Mžiková 702 892 676
Jan Kozojed - syn </t>
  </si>
  <si>
    <t>2051744323</t>
  </si>
  <si>
    <t>Vanda</t>
  </si>
  <si>
    <t>Dekánková</t>
  </si>
  <si>
    <t>Bc.</t>
  </si>
  <si>
    <t>vanda.dekankova@seznam.cz</t>
  </si>
  <si>
    <t>432</t>
  </si>
  <si>
    <t>Starý Brázdim 73</t>
  </si>
  <si>
    <t>Brázdim</t>
  </si>
  <si>
    <t>25063</t>
  </si>
  <si>
    <t>+420734709242</t>
  </si>
  <si>
    <t>2051744331</t>
  </si>
  <si>
    <t>Karban</t>
  </si>
  <si>
    <t>433</t>
  </si>
  <si>
    <t>420603320718</t>
  </si>
  <si>
    <t>603 320 718</t>
  </si>
  <si>
    <t xml:space="preserve"> 603 320 718 </t>
  </si>
  <si>
    <t>2051744413</t>
  </si>
  <si>
    <t>Josef</t>
  </si>
  <si>
    <t>Hanzelín</t>
  </si>
  <si>
    <t>goodluck1@centrum.cz</t>
  </si>
  <si>
    <t>441</t>
  </si>
  <si>
    <t>Bedřicha Smetany 710/9</t>
  </si>
  <si>
    <t>Nymburk</t>
  </si>
  <si>
    <t>28802</t>
  </si>
  <si>
    <t>420608984146</t>
  </si>
  <si>
    <t>608 984 146
goodluck1@centrum.cz
manželka</t>
  </si>
  <si>
    <t xml:space="preserve"> 608 984 146
goodluck1@centrum.cz
manželka </t>
  </si>
  <si>
    <t>2051744421</t>
  </si>
  <si>
    <t>Radek</t>
  </si>
  <si>
    <t>Pekárek</t>
  </si>
  <si>
    <t>442</t>
  </si>
  <si>
    <t>604 823 774</t>
  </si>
  <si>
    <t>420606370439</t>
  </si>
  <si>
    <t>Pekárek
606 370 439
rpekis@gmail.com
radek.pekarek@email.cz
Pekárková 
604 823 774
katerinapekarkova@email.cz</t>
  </si>
  <si>
    <t xml:space="preserve"> Pekárek
606 370 439
rpekis@gmail.com
radek.pekarek@email.cz
Pekárková 
604 823 774
katerinapekarkova@email.cz </t>
  </si>
  <si>
    <t>2051744431</t>
  </si>
  <si>
    <t>Albert</t>
  </si>
  <si>
    <t>Rusina</t>
  </si>
  <si>
    <t>443</t>
  </si>
  <si>
    <t>420604602028</t>
  </si>
  <si>
    <t>604 602 028
přeplatek nevyplácet, nechat v předpisech</t>
  </si>
  <si>
    <t xml:space="preserve"> 604 602 028
přeplatek nevyplácet, nechat v předpisech </t>
  </si>
  <si>
    <t>2051755011</t>
  </si>
  <si>
    <t>Vendula</t>
  </si>
  <si>
    <t>Ješetová</t>
  </si>
  <si>
    <t>Spojovací 557/E</t>
  </si>
  <si>
    <t>vjes@seznam.cz</t>
  </si>
  <si>
    <t>501</t>
  </si>
  <si>
    <t>420605574444</t>
  </si>
  <si>
    <t>605 574 444
vjes@seznam.cz</t>
  </si>
  <si>
    <t xml:space="preserve"> 605 574 444
vjes@seznam.cz </t>
  </si>
  <si>
    <t>2051755021</t>
  </si>
  <si>
    <t>Trnka</t>
  </si>
  <si>
    <t>trnka.tom@email.cz</t>
  </si>
  <si>
    <t>502</t>
  </si>
  <si>
    <t>+420724426222</t>
  </si>
  <si>
    <t>724 426 222</t>
  </si>
  <si>
    <t xml:space="preserve"> 724 426 222 </t>
  </si>
  <si>
    <t>2051755111</t>
  </si>
  <si>
    <t>Iveta</t>
  </si>
  <si>
    <t>Tlamichová</t>
  </si>
  <si>
    <t>iveta.tlamichova@continental-corporation.com</t>
  </si>
  <si>
    <t>511</t>
  </si>
  <si>
    <t>420723980698</t>
  </si>
  <si>
    <t xml:space="preserve">bydlí v Spojovací, veškerou korespondenci házet do schránky, nezasílat na adresu trv. pobytu
Tlamichova Iveta - 723 980 698 - Iveta.Tlamichova@continental-corporation.com 
</t>
  </si>
  <si>
    <t xml:space="preserve"> bydlí v Spojovací, veškerou korespondenci házet do schránky, nezasílat na adresu trv. pobytu
Tlamichova Iveta - 723 980 698 - Iveta.Tlamichova@continental-corporation.com 
 </t>
  </si>
  <si>
    <t>2051755121</t>
  </si>
  <si>
    <t>David</t>
  </si>
  <si>
    <t>Přibyl</t>
  </si>
  <si>
    <t>pribyldavid25@gmail.com</t>
  </si>
  <si>
    <t>512</t>
  </si>
  <si>
    <t>420734789090</t>
  </si>
  <si>
    <t>734 789 090
pribyldavid25@gmail.com</t>
  </si>
  <si>
    <t xml:space="preserve"> 734 789 090
pribyldavid25@gmail.com </t>
  </si>
  <si>
    <t>2051755131</t>
  </si>
  <si>
    <t>PIEDRA NATURAL a.s.</t>
  </si>
  <si>
    <t>pavel@piedra.cz</t>
  </si>
  <si>
    <t>513</t>
  </si>
  <si>
    <t>Sicherova 1601/12</t>
  </si>
  <si>
    <t>Praha 9</t>
  </si>
  <si>
    <t>19800</t>
  </si>
  <si>
    <t>420777900900</t>
  </si>
  <si>
    <t xml:space="preserve">Pavel Daněk
777 900 900   
pavel@piedra.cz  </t>
  </si>
  <si>
    <t xml:space="preserve"> Pavel Daněk
777 900 900   
pavel@piedra.cz   </t>
  </si>
  <si>
    <t>2051755211</t>
  </si>
  <si>
    <t>Novotný</t>
  </si>
  <si>
    <t>miroslav.no@seznam.cz</t>
  </si>
  <si>
    <t>521</t>
  </si>
  <si>
    <t>420732859899</t>
  </si>
  <si>
    <t>732 859 899
miroslav.no@seznam.cz</t>
  </si>
  <si>
    <t xml:space="preserve"> 732 859 899
miroslav.no@seznam.cz </t>
  </si>
  <si>
    <t>2051755222</t>
  </si>
  <si>
    <t>Irina</t>
  </si>
  <si>
    <t>Gubanova</t>
  </si>
  <si>
    <t>522</t>
  </si>
  <si>
    <t xml:space="preserve">720 489 028  
zanegina@gmail.com    </t>
  </si>
  <si>
    <t xml:space="preserve"> 720 489 028  
zanegina@gmail.com     </t>
  </si>
  <si>
    <t>2051755231</t>
  </si>
  <si>
    <t>Jitka</t>
  </si>
  <si>
    <t>Šturcová</t>
  </si>
  <si>
    <t>sturcova.jitka@seznam.cz</t>
  </si>
  <si>
    <t>523</t>
  </si>
  <si>
    <t>Edisonova 66</t>
  </si>
  <si>
    <t>Praha 10</t>
  </si>
  <si>
    <t>10900</t>
  </si>
  <si>
    <t>420775236525</t>
  </si>
  <si>
    <t xml:space="preserve">775 236 525
sturcova.jitka@seznam.cz
dříve: Musílková
Sojka Miroslav -Rimavské Janovce 316,98081,Slovensko
Koloman Šereš-Rimavské Janovce 316,98081,Slovensko
</t>
  </si>
  <si>
    <t xml:space="preserve"> 775 236 525
sturcova.jitka@seznam.cz
dříve: Musílková
Sojka Miroslav -Rimavské Janovce 316,98081,Slovensko
Koloman Šereš-Rimavské Janovce 316,98081,Slovensko
 </t>
  </si>
  <si>
    <t>2051755313</t>
  </si>
  <si>
    <t>Polina</t>
  </si>
  <si>
    <t>Mingaleva</t>
  </si>
  <si>
    <t>pmingaleva@gmail.com</t>
  </si>
  <si>
    <t>531</t>
  </si>
  <si>
    <t>+420777977032</t>
  </si>
  <si>
    <t>2051755321</t>
  </si>
  <si>
    <t>Ondřej</t>
  </si>
  <si>
    <t>Cerha</t>
  </si>
  <si>
    <t>o.cerha@centrum.cz</t>
  </si>
  <si>
    <t>532</t>
  </si>
  <si>
    <t>420724322489</t>
  </si>
  <si>
    <t xml:space="preserve">724 322 489
o.cerha@centrum.cz
Zdena Cerhová 724 314 883 matka
</t>
  </si>
  <si>
    <t xml:space="preserve"> 724 322 489
o.cerha@centrum.cz
Zdena Cerhová 724 314 883 matka
 </t>
  </si>
  <si>
    <t>2051755331</t>
  </si>
  <si>
    <t>Pavlína</t>
  </si>
  <si>
    <t>Burianová</t>
  </si>
  <si>
    <t>pavlinabu@seznam.cz</t>
  </si>
  <si>
    <t>533</t>
  </si>
  <si>
    <t>Tyršova 1573</t>
  </si>
  <si>
    <t>+420731469636</t>
  </si>
  <si>
    <t>Tomáš Burian zemřel, od 20.8.2022 prázdný byt
Pavlína Burianová tel. č. : 731 46 96 36, email: pavlinabu@seznam.cz</t>
  </si>
  <si>
    <t xml:space="preserve"> 739 713 752    
burian192@gmail.com    </t>
  </si>
  <si>
    <t>2051755411</t>
  </si>
  <si>
    <t>Sýkora</t>
  </si>
  <si>
    <t>sykorato.1@seznam.cz</t>
  </si>
  <si>
    <t>541</t>
  </si>
  <si>
    <t>Vodnická 438/50</t>
  </si>
  <si>
    <t>Praha 4</t>
  </si>
  <si>
    <t>14900</t>
  </si>
  <si>
    <t>420730541629</t>
  </si>
  <si>
    <t>730 541 629 
sykorato.1@seznam.cz
nájemce od 1.9.2017:
Lenka Celurová
U Stadionu 976, Ml. Boleslav - 792 215 493
Zdeněk Váňa
Liběšice 79, Litoměřice</t>
  </si>
  <si>
    <t xml:space="preserve"> 730 541 629 
sykorato.1@seznam.cz
nájemce od 1.9.2017:
Lenka Celurová
U Stadionu 976, Ml. Boleslav - 792 215 493
Zdeněk Váňa
Liběšice 79, Litoměřice </t>
  </si>
  <si>
    <t>2051755424</t>
  </si>
  <si>
    <t>Mazal</t>
  </si>
  <si>
    <t>mazal.kuba@gmail.com</t>
  </si>
  <si>
    <t>542</t>
  </si>
  <si>
    <t>Krásova 1027/9</t>
  </si>
  <si>
    <t>Praha 3</t>
  </si>
  <si>
    <t>13000</t>
  </si>
  <si>
    <t>+420734785729</t>
  </si>
  <si>
    <t>2051755433</t>
  </si>
  <si>
    <t>Markéta</t>
  </si>
  <si>
    <t>Zatloukalová</t>
  </si>
  <si>
    <t>5marky@seznam.cz</t>
  </si>
  <si>
    <t>543</t>
  </si>
  <si>
    <t>420605438459</t>
  </si>
  <si>
    <t xml:space="preserve">605 438 459
5marky@seznam.cz   </t>
  </si>
  <si>
    <t xml:space="preserve"> 605 438 459
5marky@seznam.cz    </t>
  </si>
  <si>
    <t>x</t>
  </si>
  <si>
    <t>Velechovská 724 164 359
Velechovský 606 573 928</t>
  </si>
  <si>
    <t xml:space="preserve">
 </t>
  </si>
  <si>
    <t>+420774028119</t>
  </si>
  <si>
    <t>radek.pekarek.78@gmail.com</t>
  </si>
  <si>
    <t>michalh360@gmail.com</t>
  </si>
  <si>
    <t>vladimirababurkova@gmail.com</t>
  </si>
  <si>
    <t>603 801 159
hajdalka@centrum.cz</t>
  </si>
  <si>
    <t>Zanegina
720 489 028</t>
  </si>
  <si>
    <t xml:space="preserve">602 279 818
milovice.dvorak@seznam.cz       </t>
  </si>
  <si>
    <t>728 103 303
laco.jozefcak@seznam.cz</t>
  </si>
  <si>
    <t>739 396 776
mazurova.zuzana@email.cz</t>
  </si>
  <si>
    <t>775 178 776
tomas.rohlicek@seznam.cz</t>
  </si>
  <si>
    <t>730 861 676
masekkuba@centrum.cz</t>
  </si>
  <si>
    <t>lukocert@seznam.cz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</si>
</sst>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0"/>
      <name val="Arial"/>
    </font>
    <font>
      <sz val="8"/>
      <name val="MS Sans Serif"/>
      <family val="2"/>
    </font>
    <font>
      <sz val="8"/>
      <name val="MS Sans Serif"/>
      <family val="2"/>
      <charset val="238"/>
    </font>
    <font>
      <sz val="8"/>
      <color rgb="FF000080"/>
      <name val="MS Sans Serif"/>
      <family val="2"/>
    </font>
    <font>
      <sz val="8"/>
      <color rgb="FF000080"/>
      <name val="MS Sans Serif"/>
      <family val="2"/>
      <charset val="238"/>
    </font>
    <font>
      <sz val="8"/>
      <color rgb="FF000000"/>
      <name val="MS Sans Serif"/>
      <family val="2"/>
      <charset val="238"/>
    </font>
    <font>
      <sz val="8"/>
      <color rgb="FF000000"/>
      <name val="MS Sans Serif"/>
      <family val="2"/>
    </font>
    <font>
      <sz val="8"/>
      <name val="Microsoft Sans Serif"/>
      <family val="2"/>
      <charset val="238"/>
    </font>
    <font>
      <sz val="10"/>
      <color theme="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3" fontId="1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 applyAlignment="1">
      <alignment horizontal="left" vertical="center"/>
    </xf>
    <xf numFmtId="3" fontId="1" fillId="4" borderId="2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2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17.28515625" defaultRowHeight="15" customHeight="1" x14ac:dyDescent="0.2"/>
  <cols>
    <col min="1" max="1" width="1.5703125" style="1" bestFit="1" customWidth="1"/>
    <col min="2" max="2" width="9.5703125" style="1" bestFit="1" customWidth="1"/>
    <col min="3" max="3" width="6.7109375" style="1" bestFit="1" customWidth="1"/>
    <col min="4" max="4" width="17.5703125" style="1" bestFit="1" customWidth="1"/>
    <col min="5" max="5" width="4" style="1" bestFit="1" customWidth="1"/>
    <col min="6" max="6" width="12.7109375" style="1" bestFit="1" customWidth="1"/>
    <col min="7" max="7" width="7.42578125" style="1" bestFit="1" customWidth="1"/>
    <col min="8" max="8" width="33" style="1" bestFit="1" customWidth="1"/>
    <col min="9" max="10" width="8.7109375" style="1" customWidth="1"/>
    <col min="11" max="11" width="10" style="1" customWidth="1"/>
    <col min="12" max="12" width="7.7109375" style="1" customWidth="1"/>
    <col min="13" max="13" width="9.42578125" style="1" customWidth="1"/>
    <col min="14" max="14" width="7.42578125" style="1" customWidth="1"/>
    <col min="15" max="15" width="6" style="1" customWidth="1"/>
    <col min="16" max="16" width="5.28515625" style="1" customWidth="1"/>
    <col min="17" max="17" width="18.28515625" style="1" customWidth="1"/>
    <col min="18" max="18" width="15" style="1" customWidth="1"/>
    <col min="19" max="19" width="8" style="1" customWidth="1"/>
    <col min="20" max="20" width="11.85546875" style="1" customWidth="1"/>
    <col min="21" max="21" width="7" style="1" customWidth="1"/>
    <col min="22" max="22" width="8.7109375" style="1" customWidth="1"/>
    <col min="23" max="23" width="10.7109375" style="1" customWidth="1"/>
    <col min="24" max="24" width="12.140625" style="25" customWidth="1"/>
    <col min="25" max="25" width="12" style="1" customWidth="1"/>
    <col min="26" max="26" width="17.5703125" style="1" customWidth="1"/>
    <col min="27" max="27" width="48.42578125" style="1" customWidth="1"/>
    <col min="28" max="28" width="89.5703125" style="1" customWidth="1"/>
    <col min="29" max="29" width="33.5703125" style="1" customWidth="1"/>
    <col min="30" max="30" width="9" style="19" customWidth="1"/>
    <col min="31" max="32" width="8.5703125" style="19" bestFit="1" customWidth="1"/>
    <col min="33" max="33" width="20.7109375" style="19" customWidth="1"/>
    <col min="34" max="34" width="17.28515625" style="23"/>
    <col min="35" max="16384" width="17.28515625" style="1"/>
  </cols>
  <sheetData>
    <row r="1" spans="1:34" ht="15" customHeight="1" x14ac:dyDescent="0.2">
      <c r="AF1" s="21">
        <f>SUBTOTAL(9,AF3:AF1048576)</f>
        <v>10000</v>
      </c>
      <c r="AG1" s="21" t="str">
        <f>_xlfn.CONCAT(TEXT(SUM(AH3:AH72),"# ##0")," / 10 000"," - ",TEXT(SUM(AH3:AH72)/10000,"0,00%"))</f>
        <v>754 / 10 000 - 7,54%</v>
      </c>
    </row>
    <row r="2" spans="1:34" ht="11.85" customHeight="1" x14ac:dyDescent="0.2">
      <c r="A2" s="2"/>
      <c r="B2" s="3" t="s">
        <v>0</v>
      </c>
      <c r="C2" s="3" t="s">
        <v>1</v>
      </c>
      <c r="D2" s="3" t="s">
        <v>2</v>
      </c>
      <c r="E2" s="4" t="s">
        <v>3</v>
      </c>
      <c r="F2" s="5" t="s">
        <v>4</v>
      </c>
      <c r="G2" s="6" t="s">
        <v>5</v>
      </c>
      <c r="H2" s="5" t="s">
        <v>6</v>
      </c>
      <c r="I2" s="3" t="s">
        <v>7</v>
      </c>
      <c r="J2" s="3" t="s">
        <v>8</v>
      </c>
      <c r="K2" s="4" t="s">
        <v>9</v>
      </c>
      <c r="L2" s="5" t="s">
        <v>10</v>
      </c>
      <c r="M2" s="6" t="s">
        <v>11</v>
      </c>
      <c r="N2" s="6" t="s">
        <v>12</v>
      </c>
      <c r="O2" s="6" t="s">
        <v>13</v>
      </c>
      <c r="P2" s="5" t="s">
        <v>14</v>
      </c>
      <c r="Q2" s="6" t="s">
        <v>15</v>
      </c>
      <c r="R2" s="6" t="s">
        <v>16</v>
      </c>
      <c r="S2" s="6" t="s">
        <v>17</v>
      </c>
      <c r="T2" s="5" t="s">
        <v>18</v>
      </c>
      <c r="U2" s="7" t="s">
        <v>19</v>
      </c>
      <c r="V2" s="6" t="s">
        <v>20</v>
      </c>
      <c r="W2" s="5" t="s">
        <v>21</v>
      </c>
      <c r="X2" s="26" t="s">
        <v>22</v>
      </c>
      <c r="Y2" s="7" t="s">
        <v>23</v>
      </c>
      <c r="Z2" s="7" t="s">
        <v>24</v>
      </c>
      <c r="AA2" s="5" t="s">
        <v>25</v>
      </c>
      <c r="AB2" s="6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618</v>
      </c>
    </row>
    <row r="3" spans="1:34" ht="24" customHeight="1" x14ac:dyDescent="0.2">
      <c r="A3" s="13" t="s">
        <v>31</v>
      </c>
      <c r="B3" s="9" t="s">
        <v>32</v>
      </c>
      <c r="C3" s="10" t="s">
        <v>33</v>
      </c>
      <c r="D3" s="10" t="s">
        <v>34</v>
      </c>
      <c r="E3" s="10"/>
      <c r="F3" s="11" t="s">
        <v>35</v>
      </c>
      <c r="G3" s="12">
        <v>101</v>
      </c>
      <c r="H3" s="13" t="s">
        <v>36</v>
      </c>
      <c r="I3" s="14">
        <v>39814</v>
      </c>
      <c r="J3" s="14">
        <v>401769</v>
      </c>
      <c r="K3" s="15" t="s">
        <v>37</v>
      </c>
      <c r="L3" s="13" t="s">
        <v>38</v>
      </c>
      <c r="M3" s="16" t="s">
        <v>39</v>
      </c>
      <c r="N3" s="17">
        <v>0</v>
      </c>
      <c r="O3" s="17">
        <v>1</v>
      </c>
      <c r="P3" s="13" t="s">
        <v>40</v>
      </c>
      <c r="Q3" s="13" t="s">
        <v>42</v>
      </c>
      <c r="R3" s="13" t="s">
        <v>43</v>
      </c>
      <c r="S3" s="13" t="s">
        <v>40</v>
      </c>
      <c r="T3" s="13" t="s">
        <v>44</v>
      </c>
      <c r="U3" s="17">
        <v>2</v>
      </c>
      <c r="V3" s="17">
        <v>1</v>
      </c>
      <c r="W3" s="13"/>
      <c r="X3" s="27" t="s">
        <v>621</v>
      </c>
      <c r="Y3" s="13" t="s">
        <v>33</v>
      </c>
      <c r="Z3" s="13" t="s">
        <v>34</v>
      </c>
      <c r="AA3" s="13" t="s">
        <v>619</v>
      </c>
      <c r="AB3" s="18"/>
      <c r="AC3" s="13" t="s">
        <v>45</v>
      </c>
      <c r="AD3" s="17">
        <v>40.68</v>
      </c>
      <c r="AE3" s="17">
        <v>40.68</v>
      </c>
      <c r="AF3" s="20">
        <v>135</v>
      </c>
      <c r="AG3" s="22" t="b">
        <v>0</v>
      </c>
      <c r="AH3" s="23" t="str">
        <f>IF(AG3=TRUE,AF3,"")</f>
        <v/>
      </c>
    </row>
    <row r="4" spans="1:34" ht="24" customHeight="1" x14ac:dyDescent="0.2">
      <c r="A4" s="8" t="s">
        <v>31</v>
      </c>
      <c r="B4" s="9" t="s">
        <v>46</v>
      </c>
      <c r="C4" s="10" t="s">
        <v>47</v>
      </c>
      <c r="D4" s="10" t="s">
        <v>48</v>
      </c>
      <c r="E4" s="10"/>
      <c r="F4" s="11" t="s">
        <v>35</v>
      </c>
      <c r="G4" s="12">
        <v>102</v>
      </c>
      <c r="H4" s="13" t="s">
        <v>49</v>
      </c>
      <c r="I4" s="14">
        <v>39814</v>
      </c>
      <c r="J4" s="14">
        <v>401769</v>
      </c>
      <c r="K4" s="15" t="s">
        <v>37</v>
      </c>
      <c r="L4" s="13" t="s">
        <v>38</v>
      </c>
      <c r="M4" s="16" t="s">
        <v>50</v>
      </c>
      <c r="N4" s="17">
        <v>0</v>
      </c>
      <c r="O4" s="17">
        <v>1</v>
      </c>
      <c r="P4" s="13" t="s">
        <v>40</v>
      </c>
      <c r="Q4" s="13" t="s">
        <v>51</v>
      </c>
      <c r="R4" s="13" t="s">
        <v>43</v>
      </c>
      <c r="S4" s="13" t="s">
        <v>52</v>
      </c>
      <c r="T4" s="13" t="s">
        <v>44</v>
      </c>
      <c r="U4" s="17">
        <v>2</v>
      </c>
      <c r="V4" s="17">
        <v>1</v>
      </c>
      <c r="W4" s="13"/>
      <c r="X4" s="27" t="s">
        <v>53</v>
      </c>
      <c r="Y4" s="13" t="s">
        <v>47</v>
      </c>
      <c r="Z4" s="13" t="s">
        <v>48</v>
      </c>
      <c r="AA4" s="24">
        <v>604758559</v>
      </c>
      <c r="AB4" s="18" t="s">
        <v>620</v>
      </c>
      <c r="AC4" s="13" t="s">
        <v>45</v>
      </c>
      <c r="AD4" s="17">
        <v>40.68</v>
      </c>
      <c r="AE4" s="17">
        <v>40.68</v>
      </c>
      <c r="AF4" s="20">
        <v>135</v>
      </c>
      <c r="AG4" s="22" t="b">
        <v>0</v>
      </c>
      <c r="AH4" s="23" t="str">
        <f t="shared" ref="AH4:AH67" si="0">IF(AG4=TRUE,AF4,"")</f>
        <v/>
      </c>
    </row>
    <row r="5" spans="1:34" ht="24" customHeight="1" x14ac:dyDescent="0.2">
      <c r="A5" s="8" t="s">
        <v>31</v>
      </c>
      <c r="B5" s="9" t="s">
        <v>54</v>
      </c>
      <c r="C5" s="10" t="s">
        <v>55</v>
      </c>
      <c r="D5" s="10" t="s">
        <v>56</v>
      </c>
      <c r="E5" s="10" t="s">
        <v>57</v>
      </c>
      <c r="F5" s="11" t="s">
        <v>35</v>
      </c>
      <c r="G5" s="12">
        <v>111</v>
      </c>
      <c r="H5" s="13" t="s">
        <v>58</v>
      </c>
      <c r="I5" s="14">
        <v>39814</v>
      </c>
      <c r="J5" s="14">
        <v>401769</v>
      </c>
      <c r="K5" s="15" t="s">
        <v>37</v>
      </c>
      <c r="L5" s="13" t="s">
        <v>38</v>
      </c>
      <c r="M5" s="16" t="s">
        <v>59</v>
      </c>
      <c r="N5" s="17">
        <v>1</v>
      </c>
      <c r="O5" s="17">
        <v>2</v>
      </c>
      <c r="P5" s="13" t="s">
        <v>40</v>
      </c>
      <c r="Q5" s="13" t="s">
        <v>42</v>
      </c>
      <c r="R5" s="13" t="s">
        <v>43</v>
      </c>
      <c r="S5" s="13" t="s">
        <v>40</v>
      </c>
      <c r="T5" s="13" t="s">
        <v>44</v>
      </c>
      <c r="U5" s="17">
        <v>1</v>
      </c>
      <c r="V5" s="17">
        <v>1</v>
      </c>
      <c r="W5" s="13"/>
      <c r="X5" s="27" t="s">
        <v>60</v>
      </c>
      <c r="Y5" s="13" t="s">
        <v>55</v>
      </c>
      <c r="Z5" s="13" t="s">
        <v>56</v>
      </c>
      <c r="AA5" s="13" t="s">
        <v>61</v>
      </c>
      <c r="AB5" s="18" t="s">
        <v>62</v>
      </c>
      <c r="AC5" s="13" t="s">
        <v>45</v>
      </c>
      <c r="AD5" s="17">
        <v>42.08</v>
      </c>
      <c r="AE5" s="17">
        <v>42.08</v>
      </c>
      <c r="AF5" s="20">
        <v>141</v>
      </c>
      <c r="AG5" s="22" t="b">
        <v>0</v>
      </c>
      <c r="AH5" s="23" t="str">
        <f t="shared" si="0"/>
        <v/>
      </c>
    </row>
    <row r="6" spans="1:34" ht="24" customHeight="1" x14ac:dyDescent="0.2">
      <c r="A6" s="8" t="s">
        <v>31</v>
      </c>
      <c r="B6" s="9" t="s">
        <v>63</v>
      </c>
      <c r="C6" s="10" t="s">
        <v>64</v>
      </c>
      <c r="D6" s="10" t="s">
        <v>65</v>
      </c>
      <c r="E6" s="10"/>
      <c r="F6" s="11" t="s">
        <v>35</v>
      </c>
      <c r="G6" s="12">
        <v>112</v>
      </c>
      <c r="H6" s="13" t="s">
        <v>66</v>
      </c>
      <c r="I6" s="14">
        <v>39814</v>
      </c>
      <c r="J6" s="14">
        <v>401769</v>
      </c>
      <c r="K6" s="15" t="s">
        <v>37</v>
      </c>
      <c r="L6" s="13" t="s">
        <v>38</v>
      </c>
      <c r="M6" s="16" t="s">
        <v>67</v>
      </c>
      <c r="N6" s="17">
        <v>1</v>
      </c>
      <c r="O6" s="17">
        <v>2</v>
      </c>
      <c r="P6" s="13" t="s">
        <v>40</v>
      </c>
      <c r="Q6" s="13" t="s">
        <v>68</v>
      </c>
      <c r="R6" s="13" t="s">
        <v>69</v>
      </c>
      <c r="S6" s="13" t="s">
        <v>70</v>
      </c>
      <c r="T6" s="13" t="s">
        <v>44</v>
      </c>
      <c r="U6" s="17">
        <v>2</v>
      </c>
      <c r="V6" s="17">
        <v>1</v>
      </c>
      <c r="W6" s="13"/>
      <c r="X6" s="27" t="s">
        <v>71</v>
      </c>
      <c r="Y6" s="13" t="s">
        <v>64</v>
      </c>
      <c r="Z6" s="13" t="s">
        <v>65</v>
      </c>
      <c r="AA6" s="13" t="s">
        <v>625</v>
      </c>
      <c r="AB6" s="18" t="s">
        <v>72</v>
      </c>
      <c r="AC6" s="13" t="s">
        <v>45</v>
      </c>
      <c r="AD6" s="17">
        <v>41.93</v>
      </c>
      <c r="AE6" s="17">
        <v>41.93</v>
      </c>
      <c r="AF6" s="20">
        <v>140</v>
      </c>
      <c r="AG6" s="22" t="b">
        <v>0</v>
      </c>
      <c r="AH6" s="23" t="str">
        <f t="shared" si="0"/>
        <v/>
      </c>
    </row>
    <row r="7" spans="1:34" ht="24" customHeight="1" x14ac:dyDescent="0.2">
      <c r="A7" s="8" t="s">
        <v>31</v>
      </c>
      <c r="B7" s="9" t="s">
        <v>73</v>
      </c>
      <c r="C7" s="10" t="s">
        <v>74</v>
      </c>
      <c r="D7" s="10" t="s">
        <v>75</v>
      </c>
      <c r="E7" s="10" t="s">
        <v>57</v>
      </c>
      <c r="F7" s="11" t="s">
        <v>35</v>
      </c>
      <c r="G7" s="12">
        <v>113</v>
      </c>
      <c r="H7" s="13" t="s">
        <v>76</v>
      </c>
      <c r="I7" s="14">
        <v>42461</v>
      </c>
      <c r="J7" s="14">
        <v>401769</v>
      </c>
      <c r="K7" s="15" t="s">
        <v>37</v>
      </c>
      <c r="L7" s="13" t="s">
        <v>38</v>
      </c>
      <c r="M7" s="16" t="s">
        <v>77</v>
      </c>
      <c r="N7" s="17">
        <v>1</v>
      </c>
      <c r="O7" s="17">
        <v>2</v>
      </c>
      <c r="P7" s="13" t="s">
        <v>40</v>
      </c>
      <c r="Q7" s="13" t="s">
        <v>78</v>
      </c>
      <c r="R7" s="13" t="s">
        <v>79</v>
      </c>
      <c r="S7" s="13" t="s">
        <v>80</v>
      </c>
      <c r="T7" s="13" t="s">
        <v>44</v>
      </c>
      <c r="U7" s="17">
        <v>1</v>
      </c>
      <c r="V7" s="17">
        <v>1</v>
      </c>
      <c r="W7" s="13"/>
      <c r="X7" s="27" t="s">
        <v>81</v>
      </c>
      <c r="Y7" s="13" t="s">
        <v>74</v>
      </c>
      <c r="Z7" s="13" t="s">
        <v>75</v>
      </c>
      <c r="AA7" s="13" t="s">
        <v>82</v>
      </c>
      <c r="AB7" s="18" t="s">
        <v>83</v>
      </c>
      <c r="AC7" s="13" t="s">
        <v>45</v>
      </c>
      <c r="AD7" s="17">
        <v>42.08</v>
      </c>
      <c r="AE7" s="17">
        <v>42.08</v>
      </c>
      <c r="AF7" s="20">
        <v>141</v>
      </c>
      <c r="AG7" s="22" t="b">
        <v>0</v>
      </c>
      <c r="AH7" s="23" t="str">
        <f t="shared" si="0"/>
        <v/>
      </c>
    </row>
    <row r="8" spans="1:34" ht="24" customHeight="1" x14ac:dyDescent="0.2">
      <c r="A8" s="8" t="s">
        <v>31</v>
      </c>
      <c r="B8" s="9" t="s">
        <v>84</v>
      </c>
      <c r="C8" s="10" t="s">
        <v>85</v>
      </c>
      <c r="D8" s="10" t="s">
        <v>86</v>
      </c>
      <c r="E8" s="10"/>
      <c r="F8" s="11" t="s">
        <v>35</v>
      </c>
      <c r="G8" s="12">
        <v>121</v>
      </c>
      <c r="H8" s="13" t="s">
        <v>87</v>
      </c>
      <c r="I8" s="14">
        <v>44136</v>
      </c>
      <c r="J8" s="14">
        <v>401769</v>
      </c>
      <c r="K8" s="15" t="s">
        <v>37</v>
      </c>
      <c r="L8" s="13" t="s">
        <v>38</v>
      </c>
      <c r="M8" s="16" t="s">
        <v>88</v>
      </c>
      <c r="N8" s="17">
        <v>2</v>
      </c>
      <c r="O8" s="17">
        <v>3</v>
      </c>
      <c r="P8" s="13" t="s">
        <v>40</v>
      </c>
      <c r="Q8" s="13" t="s">
        <v>89</v>
      </c>
      <c r="R8" s="13" t="s">
        <v>43</v>
      </c>
      <c r="S8" s="13" t="s">
        <v>52</v>
      </c>
      <c r="T8" s="13" t="s">
        <v>44</v>
      </c>
      <c r="U8" s="17">
        <v>3</v>
      </c>
      <c r="V8" s="17">
        <v>1</v>
      </c>
      <c r="W8" s="13"/>
      <c r="X8" s="27" t="s">
        <v>90</v>
      </c>
      <c r="Y8" s="13" t="s">
        <v>85</v>
      </c>
      <c r="Z8" s="13" t="s">
        <v>86</v>
      </c>
      <c r="AA8" s="13" t="s">
        <v>91</v>
      </c>
      <c r="AB8" s="18" t="s">
        <v>92</v>
      </c>
      <c r="AC8" s="13" t="s">
        <v>45</v>
      </c>
      <c r="AD8" s="17">
        <v>42.08</v>
      </c>
      <c r="AE8" s="17">
        <v>42.08</v>
      </c>
      <c r="AF8" s="20">
        <v>141</v>
      </c>
      <c r="AG8" s="22" t="b">
        <v>0</v>
      </c>
      <c r="AH8" s="23" t="str">
        <f t="shared" si="0"/>
        <v/>
      </c>
    </row>
    <row r="9" spans="1:34" ht="24" customHeight="1" x14ac:dyDescent="0.2">
      <c r="A9" s="8" t="s">
        <v>31</v>
      </c>
      <c r="B9" s="9" t="s">
        <v>93</v>
      </c>
      <c r="C9" s="10" t="s">
        <v>94</v>
      </c>
      <c r="D9" s="10" t="s">
        <v>95</v>
      </c>
      <c r="E9" s="10" t="s">
        <v>57</v>
      </c>
      <c r="F9" s="11" t="s">
        <v>35</v>
      </c>
      <c r="G9" s="12">
        <v>122</v>
      </c>
      <c r="H9" s="13" t="s">
        <v>96</v>
      </c>
      <c r="I9" s="14">
        <v>41699</v>
      </c>
      <c r="J9" s="14">
        <v>401769</v>
      </c>
      <c r="K9" s="15" t="s">
        <v>37</v>
      </c>
      <c r="L9" s="13" t="s">
        <v>38</v>
      </c>
      <c r="M9" s="16" t="s">
        <v>97</v>
      </c>
      <c r="N9" s="17">
        <v>2</v>
      </c>
      <c r="O9" s="17">
        <v>3</v>
      </c>
      <c r="P9" s="13" t="s">
        <v>40</v>
      </c>
      <c r="Q9" s="13" t="s">
        <v>98</v>
      </c>
      <c r="R9" s="13" t="s">
        <v>43</v>
      </c>
      <c r="S9" s="13" t="s">
        <v>40</v>
      </c>
      <c r="T9" s="13" t="s">
        <v>44</v>
      </c>
      <c r="U9" s="17">
        <v>3</v>
      </c>
      <c r="V9" s="17">
        <v>1</v>
      </c>
      <c r="W9" s="13"/>
      <c r="X9" s="27" t="s">
        <v>99</v>
      </c>
      <c r="Y9" s="13" t="s">
        <v>94</v>
      </c>
      <c r="Z9" s="13" t="s">
        <v>95</v>
      </c>
      <c r="AA9" s="13" t="s">
        <v>100</v>
      </c>
      <c r="AB9" s="18" t="s">
        <v>101</v>
      </c>
      <c r="AC9" s="13" t="s">
        <v>45</v>
      </c>
      <c r="AD9" s="17">
        <v>41.93</v>
      </c>
      <c r="AE9" s="17">
        <v>41.93</v>
      </c>
      <c r="AF9" s="20">
        <v>140</v>
      </c>
      <c r="AG9" s="22" t="b">
        <v>0</v>
      </c>
      <c r="AH9" s="23" t="str">
        <f t="shared" si="0"/>
        <v/>
      </c>
    </row>
    <row r="10" spans="1:34" ht="24" customHeight="1" x14ac:dyDescent="0.2">
      <c r="A10" s="8" t="s">
        <v>31</v>
      </c>
      <c r="B10" s="9" t="s">
        <v>102</v>
      </c>
      <c r="C10" s="10" t="s">
        <v>103</v>
      </c>
      <c r="D10" s="10" t="s">
        <v>104</v>
      </c>
      <c r="E10" s="10"/>
      <c r="F10" s="11" t="s">
        <v>35</v>
      </c>
      <c r="G10" s="12">
        <v>123</v>
      </c>
      <c r="H10" s="13" t="s">
        <v>105</v>
      </c>
      <c r="I10" s="14">
        <v>39814</v>
      </c>
      <c r="J10" s="14">
        <v>401769</v>
      </c>
      <c r="K10" s="15" t="s">
        <v>37</v>
      </c>
      <c r="L10" s="13" t="s">
        <v>38</v>
      </c>
      <c r="M10" s="16" t="s">
        <v>106</v>
      </c>
      <c r="N10" s="17">
        <v>2</v>
      </c>
      <c r="O10" s="17">
        <v>3</v>
      </c>
      <c r="P10" s="13" t="s">
        <v>40</v>
      </c>
      <c r="Q10" s="13" t="s">
        <v>42</v>
      </c>
      <c r="R10" s="13" t="s">
        <v>43</v>
      </c>
      <c r="S10" s="13" t="s">
        <v>40</v>
      </c>
      <c r="T10" s="13" t="s">
        <v>44</v>
      </c>
      <c r="U10" s="17">
        <v>1</v>
      </c>
      <c r="V10" s="17">
        <v>1</v>
      </c>
      <c r="W10" s="13"/>
      <c r="X10" s="27" t="s">
        <v>107</v>
      </c>
      <c r="Y10" s="13" t="s">
        <v>103</v>
      </c>
      <c r="Z10" s="13" t="s">
        <v>104</v>
      </c>
      <c r="AA10" s="13" t="s">
        <v>108</v>
      </c>
      <c r="AB10" s="18" t="s">
        <v>109</v>
      </c>
      <c r="AC10" s="13" t="s">
        <v>45</v>
      </c>
      <c r="AD10" s="17">
        <v>42.08</v>
      </c>
      <c r="AE10" s="17">
        <v>42.08</v>
      </c>
      <c r="AF10" s="20">
        <v>141</v>
      </c>
      <c r="AG10" s="22" t="b">
        <v>0</v>
      </c>
      <c r="AH10" s="23" t="str">
        <f t="shared" si="0"/>
        <v/>
      </c>
    </row>
    <row r="11" spans="1:34" ht="24" customHeight="1" x14ac:dyDescent="0.2">
      <c r="A11" s="8" t="s">
        <v>31</v>
      </c>
      <c r="B11" s="9" t="s">
        <v>110</v>
      </c>
      <c r="C11" s="10" t="s">
        <v>111</v>
      </c>
      <c r="D11" s="10" t="s">
        <v>112</v>
      </c>
      <c r="E11" s="10"/>
      <c r="F11" s="11" t="s">
        <v>35</v>
      </c>
      <c r="G11" s="12">
        <v>131</v>
      </c>
      <c r="H11" s="13" t="s">
        <v>113</v>
      </c>
      <c r="I11" s="14">
        <v>42156</v>
      </c>
      <c r="J11" s="14">
        <v>401769</v>
      </c>
      <c r="K11" s="15" t="s">
        <v>37</v>
      </c>
      <c r="L11" s="13" t="s">
        <v>38</v>
      </c>
      <c r="M11" s="16" t="s">
        <v>114</v>
      </c>
      <c r="N11" s="17">
        <v>3</v>
      </c>
      <c r="O11" s="17">
        <v>4</v>
      </c>
      <c r="P11" s="13" t="s">
        <v>40</v>
      </c>
      <c r="Q11" s="13" t="s">
        <v>42</v>
      </c>
      <c r="R11" s="13" t="s">
        <v>43</v>
      </c>
      <c r="S11" s="13" t="s">
        <v>40</v>
      </c>
      <c r="T11" s="13" t="s">
        <v>44</v>
      </c>
      <c r="U11" s="17">
        <v>4</v>
      </c>
      <c r="V11" s="17">
        <v>1</v>
      </c>
      <c r="W11" s="13"/>
      <c r="X11" s="27" t="s">
        <v>115</v>
      </c>
      <c r="Y11" s="13" t="s">
        <v>111</v>
      </c>
      <c r="Z11" s="13" t="s">
        <v>112</v>
      </c>
      <c r="AA11" s="13" t="s">
        <v>626</v>
      </c>
      <c r="AB11" s="18" t="s">
        <v>116</v>
      </c>
      <c r="AC11" s="13" t="s">
        <v>45</v>
      </c>
      <c r="AD11" s="17">
        <v>42.08</v>
      </c>
      <c r="AE11" s="17">
        <v>42.08</v>
      </c>
      <c r="AF11" s="20">
        <v>141</v>
      </c>
      <c r="AG11" s="22" t="b">
        <v>0</v>
      </c>
      <c r="AH11" s="23" t="str">
        <f t="shared" si="0"/>
        <v/>
      </c>
    </row>
    <row r="12" spans="1:34" ht="24" customHeight="1" x14ac:dyDescent="0.2">
      <c r="A12" s="8" t="s">
        <v>31</v>
      </c>
      <c r="B12" s="9" t="s">
        <v>117</v>
      </c>
      <c r="C12" s="10" t="s">
        <v>118</v>
      </c>
      <c r="D12" s="10" t="s">
        <v>119</v>
      </c>
      <c r="E12" s="10"/>
      <c r="F12" s="11" t="s">
        <v>35</v>
      </c>
      <c r="G12" s="12">
        <v>132</v>
      </c>
      <c r="H12" s="13" t="s">
        <v>120</v>
      </c>
      <c r="I12" s="14">
        <v>39814</v>
      </c>
      <c r="J12" s="14">
        <v>401769</v>
      </c>
      <c r="K12" s="15" t="s">
        <v>37</v>
      </c>
      <c r="L12" s="13" t="s">
        <v>38</v>
      </c>
      <c r="M12" s="16" t="s">
        <v>121</v>
      </c>
      <c r="N12" s="17">
        <v>3</v>
      </c>
      <c r="O12" s="17">
        <v>4</v>
      </c>
      <c r="P12" s="13" t="s">
        <v>40</v>
      </c>
      <c r="Q12" s="13" t="s">
        <v>122</v>
      </c>
      <c r="R12" s="13" t="s">
        <v>123</v>
      </c>
      <c r="S12" s="13" t="s">
        <v>124</v>
      </c>
      <c r="T12" s="13" t="s">
        <v>44</v>
      </c>
      <c r="U12" s="17">
        <v>1</v>
      </c>
      <c r="V12" s="17">
        <v>1</v>
      </c>
      <c r="W12" s="13"/>
      <c r="X12" s="27" t="s">
        <v>125</v>
      </c>
      <c r="Y12" s="13" t="s">
        <v>118</v>
      </c>
      <c r="Z12" s="13" t="s">
        <v>119</v>
      </c>
      <c r="AA12" s="13" t="s">
        <v>126</v>
      </c>
      <c r="AB12" s="18" t="s">
        <v>127</v>
      </c>
      <c r="AC12" s="13" t="s">
        <v>45</v>
      </c>
      <c r="AD12" s="17">
        <v>41.93</v>
      </c>
      <c r="AE12" s="17">
        <v>41.93</v>
      </c>
      <c r="AF12" s="20">
        <v>140</v>
      </c>
      <c r="AG12" s="22" t="b">
        <v>1</v>
      </c>
      <c r="AH12" s="23">
        <f t="shared" si="0"/>
        <v>140</v>
      </c>
    </row>
    <row r="13" spans="1:34" ht="24" customHeight="1" x14ac:dyDescent="0.2">
      <c r="A13" s="8" t="s">
        <v>31</v>
      </c>
      <c r="B13" s="9" t="s">
        <v>128</v>
      </c>
      <c r="C13" s="10" t="s">
        <v>129</v>
      </c>
      <c r="D13" s="10" t="s">
        <v>130</v>
      </c>
      <c r="E13" s="10"/>
      <c r="F13" s="11" t="s">
        <v>35</v>
      </c>
      <c r="G13" s="12">
        <v>133</v>
      </c>
      <c r="H13" s="13" t="s">
        <v>131</v>
      </c>
      <c r="I13" s="14">
        <v>39814</v>
      </c>
      <c r="J13" s="14">
        <v>401769</v>
      </c>
      <c r="K13" s="15" t="s">
        <v>37</v>
      </c>
      <c r="L13" s="13" t="s">
        <v>38</v>
      </c>
      <c r="M13" s="16" t="s">
        <v>132</v>
      </c>
      <c r="N13" s="17">
        <v>3</v>
      </c>
      <c r="O13" s="17">
        <v>4</v>
      </c>
      <c r="P13" s="13" t="s">
        <v>40</v>
      </c>
      <c r="Q13" s="13" t="s">
        <v>42</v>
      </c>
      <c r="R13" s="13" t="s">
        <v>43</v>
      </c>
      <c r="S13" s="13" t="s">
        <v>40</v>
      </c>
      <c r="T13" s="13" t="s">
        <v>44</v>
      </c>
      <c r="U13" s="17">
        <v>2</v>
      </c>
      <c r="V13" s="17">
        <v>1</v>
      </c>
      <c r="W13" s="13"/>
      <c r="X13" s="27" t="s">
        <v>133</v>
      </c>
      <c r="Y13" s="13" t="s">
        <v>129</v>
      </c>
      <c r="Z13" s="13" t="s">
        <v>130</v>
      </c>
      <c r="AA13" s="13" t="s">
        <v>627</v>
      </c>
      <c r="AB13" s="18" t="s">
        <v>134</v>
      </c>
      <c r="AC13" s="13" t="s">
        <v>45</v>
      </c>
      <c r="AD13" s="17">
        <v>42.08</v>
      </c>
      <c r="AE13" s="17">
        <v>42.08</v>
      </c>
      <c r="AF13" s="20">
        <v>141</v>
      </c>
      <c r="AG13" s="22" t="b">
        <v>0</v>
      </c>
      <c r="AH13" s="23" t="str">
        <f t="shared" si="0"/>
        <v/>
      </c>
    </row>
    <row r="14" spans="1:34" ht="24" customHeight="1" x14ac:dyDescent="0.2">
      <c r="A14" s="8" t="s">
        <v>31</v>
      </c>
      <c r="B14" s="9" t="s">
        <v>135</v>
      </c>
      <c r="C14" s="10" t="s">
        <v>74</v>
      </c>
      <c r="D14" s="10" t="s">
        <v>136</v>
      </c>
      <c r="E14" s="10"/>
      <c r="F14" s="11" t="s">
        <v>35</v>
      </c>
      <c r="G14" s="12">
        <v>141</v>
      </c>
      <c r="H14" s="13" t="s">
        <v>623</v>
      </c>
      <c r="I14" s="14">
        <v>43405</v>
      </c>
      <c r="J14" s="14">
        <v>401769</v>
      </c>
      <c r="K14" s="15" t="s">
        <v>37</v>
      </c>
      <c r="L14" s="13" t="s">
        <v>38</v>
      </c>
      <c r="M14" s="16" t="s">
        <v>137</v>
      </c>
      <c r="N14" s="17">
        <v>4</v>
      </c>
      <c r="O14" s="17">
        <v>5</v>
      </c>
      <c r="P14" s="13" t="s">
        <v>40</v>
      </c>
      <c r="Q14" s="13" t="s">
        <v>42</v>
      </c>
      <c r="R14" s="13" t="s">
        <v>43</v>
      </c>
      <c r="S14" s="13" t="s">
        <v>40</v>
      </c>
      <c r="T14" s="13" t="s">
        <v>44</v>
      </c>
      <c r="U14" s="17">
        <v>2</v>
      </c>
      <c r="V14" s="17">
        <v>1</v>
      </c>
      <c r="W14" s="13" t="s">
        <v>138</v>
      </c>
      <c r="X14" s="27" t="s">
        <v>139</v>
      </c>
      <c r="Y14" s="13" t="s">
        <v>74</v>
      </c>
      <c r="Z14" s="13" t="s">
        <v>136</v>
      </c>
      <c r="AA14" s="13" t="s">
        <v>140</v>
      </c>
      <c r="AB14" s="18" t="s">
        <v>141</v>
      </c>
      <c r="AC14" s="13" t="s">
        <v>45</v>
      </c>
      <c r="AD14" s="17">
        <v>42.08</v>
      </c>
      <c r="AE14" s="17">
        <v>42.08</v>
      </c>
      <c r="AF14" s="20">
        <v>141</v>
      </c>
      <c r="AG14" s="22" t="b">
        <v>0</v>
      </c>
      <c r="AH14" s="23" t="str">
        <f t="shared" si="0"/>
        <v/>
      </c>
    </row>
    <row r="15" spans="1:34" ht="24" customHeight="1" x14ac:dyDescent="0.2">
      <c r="A15" s="8" t="s">
        <v>31</v>
      </c>
      <c r="B15" s="9" t="s">
        <v>142</v>
      </c>
      <c r="C15" s="10" t="s">
        <v>143</v>
      </c>
      <c r="D15" s="10" t="s">
        <v>144</v>
      </c>
      <c r="E15" s="10"/>
      <c r="F15" s="11" t="s">
        <v>35</v>
      </c>
      <c r="G15" s="12">
        <v>142</v>
      </c>
      <c r="H15" s="13" t="s">
        <v>145</v>
      </c>
      <c r="I15" s="14">
        <v>39814</v>
      </c>
      <c r="J15" s="14">
        <v>401769</v>
      </c>
      <c r="K15" s="15" t="s">
        <v>37</v>
      </c>
      <c r="L15" s="13" t="s">
        <v>38</v>
      </c>
      <c r="M15" s="16" t="s">
        <v>146</v>
      </c>
      <c r="N15" s="17">
        <v>4</v>
      </c>
      <c r="O15" s="17">
        <v>5</v>
      </c>
      <c r="P15" s="13" t="s">
        <v>40</v>
      </c>
      <c r="Q15" s="13" t="s">
        <v>42</v>
      </c>
      <c r="R15" s="13" t="s">
        <v>43</v>
      </c>
      <c r="S15" s="13" t="s">
        <v>40</v>
      </c>
      <c r="T15" s="13" t="s">
        <v>44</v>
      </c>
      <c r="U15" s="17">
        <v>4</v>
      </c>
      <c r="V15" s="17">
        <v>1</v>
      </c>
      <c r="W15" s="13"/>
      <c r="X15" s="27" t="s">
        <v>147</v>
      </c>
      <c r="Y15" s="13" t="s">
        <v>143</v>
      </c>
      <c r="Z15" s="13" t="s">
        <v>144</v>
      </c>
      <c r="AA15" s="13" t="s">
        <v>148</v>
      </c>
      <c r="AB15" s="18" t="s">
        <v>149</v>
      </c>
      <c r="AC15" s="13" t="s">
        <v>45</v>
      </c>
      <c r="AD15" s="17">
        <v>41.93</v>
      </c>
      <c r="AE15" s="17">
        <v>41.93</v>
      </c>
      <c r="AF15" s="20">
        <v>140</v>
      </c>
      <c r="AG15" s="22" t="b">
        <v>0</v>
      </c>
      <c r="AH15" s="23" t="str">
        <f t="shared" si="0"/>
        <v/>
      </c>
    </row>
    <row r="16" spans="1:34" ht="24" customHeight="1" x14ac:dyDescent="0.2">
      <c r="A16" s="8" t="s">
        <v>31</v>
      </c>
      <c r="B16" s="9" t="s">
        <v>150</v>
      </c>
      <c r="C16" s="10" t="s">
        <v>55</v>
      </c>
      <c r="D16" s="10" t="s">
        <v>151</v>
      </c>
      <c r="E16" s="10"/>
      <c r="F16" s="11" t="s">
        <v>35</v>
      </c>
      <c r="G16" s="12">
        <v>143</v>
      </c>
      <c r="H16" s="13" t="s">
        <v>152</v>
      </c>
      <c r="I16" s="14">
        <v>42430</v>
      </c>
      <c r="J16" s="14">
        <v>401769</v>
      </c>
      <c r="K16" s="15" t="s">
        <v>37</v>
      </c>
      <c r="L16" s="13" t="s">
        <v>38</v>
      </c>
      <c r="M16" s="16" t="s">
        <v>153</v>
      </c>
      <c r="N16" s="17">
        <v>4</v>
      </c>
      <c r="O16" s="17">
        <v>5</v>
      </c>
      <c r="P16" s="13" t="s">
        <v>40</v>
      </c>
      <c r="Q16" s="13" t="s">
        <v>42</v>
      </c>
      <c r="R16" s="13" t="s">
        <v>43</v>
      </c>
      <c r="S16" s="13" t="s">
        <v>40</v>
      </c>
      <c r="T16" s="13" t="s">
        <v>44</v>
      </c>
      <c r="U16" s="17">
        <v>1</v>
      </c>
      <c r="V16" s="17">
        <v>1</v>
      </c>
      <c r="W16" s="13" t="s">
        <v>154</v>
      </c>
      <c r="X16" s="27" t="s">
        <v>155</v>
      </c>
      <c r="Y16" s="13" t="s">
        <v>55</v>
      </c>
      <c r="Z16" s="13" t="s">
        <v>151</v>
      </c>
      <c r="AA16" s="13" t="s">
        <v>156</v>
      </c>
      <c r="AB16" s="18" t="s">
        <v>157</v>
      </c>
      <c r="AC16" s="13" t="s">
        <v>45</v>
      </c>
      <c r="AD16" s="17">
        <v>42.08</v>
      </c>
      <c r="AE16" s="17">
        <v>42.08</v>
      </c>
      <c r="AF16" s="20">
        <v>141</v>
      </c>
      <c r="AG16" s="22" t="b">
        <v>0</v>
      </c>
      <c r="AH16" s="23" t="str">
        <f t="shared" si="0"/>
        <v/>
      </c>
    </row>
    <row r="17" spans="1:34" ht="24" customHeight="1" x14ac:dyDescent="0.2">
      <c r="A17" s="8" t="s">
        <v>31</v>
      </c>
      <c r="B17" s="9" t="s">
        <v>158</v>
      </c>
      <c r="C17" s="10" t="s">
        <v>159</v>
      </c>
      <c r="D17" s="10" t="s">
        <v>160</v>
      </c>
      <c r="E17" s="10"/>
      <c r="F17" s="11" t="s">
        <v>161</v>
      </c>
      <c r="G17" s="12">
        <v>201</v>
      </c>
      <c r="H17" s="13" t="s">
        <v>162</v>
      </c>
      <c r="I17" s="14">
        <v>39814</v>
      </c>
      <c r="J17" s="14">
        <v>401769</v>
      </c>
      <c r="K17" s="15" t="s">
        <v>37</v>
      </c>
      <c r="L17" s="13" t="s">
        <v>38</v>
      </c>
      <c r="M17" s="16" t="s">
        <v>163</v>
      </c>
      <c r="N17" s="17">
        <v>0</v>
      </c>
      <c r="O17" s="17">
        <v>1</v>
      </c>
      <c r="P17" s="13" t="s">
        <v>40</v>
      </c>
      <c r="Q17" s="13" t="s">
        <v>42</v>
      </c>
      <c r="R17" s="13" t="s">
        <v>43</v>
      </c>
      <c r="S17" s="13" t="s">
        <v>40</v>
      </c>
      <c r="T17" s="13" t="s">
        <v>44</v>
      </c>
      <c r="U17" s="17">
        <v>2</v>
      </c>
      <c r="V17" s="17">
        <v>1</v>
      </c>
      <c r="W17" s="13"/>
      <c r="X17" s="27" t="s">
        <v>164</v>
      </c>
      <c r="Y17" s="13" t="s">
        <v>159</v>
      </c>
      <c r="Z17" s="13" t="s">
        <v>160</v>
      </c>
      <c r="AA17" s="13" t="s">
        <v>628</v>
      </c>
      <c r="AB17" s="18" t="s">
        <v>165</v>
      </c>
      <c r="AC17" s="13" t="s">
        <v>45</v>
      </c>
      <c r="AD17" s="17">
        <v>67.47</v>
      </c>
      <c r="AE17" s="17">
        <v>67.47</v>
      </c>
      <c r="AF17" s="20">
        <v>226</v>
      </c>
      <c r="AG17" s="22" t="b">
        <v>0</v>
      </c>
      <c r="AH17" s="23" t="str">
        <f t="shared" si="0"/>
        <v/>
      </c>
    </row>
    <row r="18" spans="1:34" ht="24" customHeight="1" x14ac:dyDescent="0.2">
      <c r="A18" s="8" t="s">
        <v>31</v>
      </c>
      <c r="B18" s="9" t="s">
        <v>166</v>
      </c>
      <c r="C18" s="10" t="s">
        <v>167</v>
      </c>
      <c r="D18" s="10" t="s">
        <v>168</v>
      </c>
      <c r="E18" s="10" t="s">
        <v>169</v>
      </c>
      <c r="F18" s="11" t="s">
        <v>161</v>
      </c>
      <c r="G18" s="12">
        <v>202</v>
      </c>
      <c r="H18" s="13" t="s">
        <v>170</v>
      </c>
      <c r="I18" s="14">
        <v>41883</v>
      </c>
      <c r="J18" s="14">
        <v>401769</v>
      </c>
      <c r="K18" s="15" t="s">
        <v>37</v>
      </c>
      <c r="L18" s="13" t="s">
        <v>38</v>
      </c>
      <c r="M18" s="16" t="s">
        <v>171</v>
      </c>
      <c r="N18" s="17">
        <v>0</v>
      </c>
      <c r="O18" s="17">
        <v>1</v>
      </c>
      <c r="P18" s="13" t="s">
        <v>40</v>
      </c>
      <c r="Q18" s="13" t="s">
        <v>172</v>
      </c>
      <c r="R18" s="13" t="s">
        <v>43</v>
      </c>
      <c r="S18" s="13" t="s">
        <v>52</v>
      </c>
      <c r="T18" s="13" t="s">
        <v>44</v>
      </c>
      <c r="U18" s="17">
        <v>1</v>
      </c>
      <c r="V18" s="17">
        <v>1</v>
      </c>
      <c r="W18" s="13"/>
      <c r="X18" s="27" t="s">
        <v>173</v>
      </c>
      <c r="Y18" s="13" t="s">
        <v>167</v>
      </c>
      <c r="Z18" s="13" t="s">
        <v>168</v>
      </c>
      <c r="AA18" s="13" t="s">
        <v>174</v>
      </c>
      <c r="AB18" s="18" t="s">
        <v>175</v>
      </c>
      <c r="AC18" s="13" t="s">
        <v>45</v>
      </c>
      <c r="AD18" s="17">
        <v>26.82</v>
      </c>
      <c r="AE18" s="17">
        <v>26.82</v>
      </c>
      <c r="AF18" s="20">
        <v>90</v>
      </c>
      <c r="AG18" s="22" t="b">
        <v>0</v>
      </c>
      <c r="AH18" s="23" t="str">
        <f t="shared" si="0"/>
        <v/>
      </c>
    </row>
    <row r="19" spans="1:34" ht="24" customHeight="1" x14ac:dyDescent="0.2">
      <c r="A19" s="8" t="s">
        <v>31</v>
      </c>
      <c r="B19" s="9" t="s">
        <v>176</v>
      </c>
      <c r="C19" s="10" t="s">
        <v>85</v>
      </c>
      <c r="D19" s="10" t="s">
        <v>177</v>
      </c>
      <c r="E19" s="10"/>
      <c r="F19" s="11" t="s">
        <v>161</v>
      </c>
      <c r="G19" s="12">
        <v>211</v>
      </c>
      <c r="H19" s="13" t="s">
        <v>178</v>
      </c>
      <c r="I19" s="14">
        <v>42736</v>
      </c>
      <c r="J19" s="14">
        <v>401769</v>
      </c>
      <c r="K19" s="15" t="s">
        <v>37</v>
      </c>
      <c r="L19" s="13" t="s">
        <v>38</v>
      </c>
      <c r="M19" s="16" t="s">
        <v>179</v>
      </c>
      <c r="N19" s="17">
        <v>1</v>
      </c>
      <c r="O19" s="17">
        <v>2</v>
      </c>
      <c r="P19" s="13" t="s">
        <v>40</v>
      </c>
      <c r="Q19" s="13" t="s">
        <v>180</v>
      </c>
      <c r="R19" s="13" t="s">
        <v>43</v>
      </c>
      <c r="S19" s="13" t="s">
        <v>52</v>
      </c>
      <c r="T19" s="13" t="s">
        <v>44</v>
      </c>
      <c r="U19" s="17">
        <v>1</v>
      </c>
      <c r="V19" s="17">
        <v>1</v>
      </c>
      <c r="W19" s="13"/>
      <c r="X19" s="27" t="s">
        <v>181</v>
      </c>
      <c r="Y19" s="13" t="s">
        <v>85</v>
      </c>
      <c r="Z19" s="13" t="s">
        <v>177</v>
      </c>
      <c r="AA19" s="13" t="s">
        <v>182</v>
      </c>
      <c r="AB19" s="18" t="s">
        <v>183</v>
      </c>
      <c r="AC19" s="13" t="s">
        <v>45</v>
      </c>
      <c r="AD19" s="17">
        <v>28.22</v>
      </c>
      <c r="AE19" s="17">
        <v>28.22</v>
      </c>
      <c r="AF19" s="20">
        <v>96</v>
      </c>
      <c r="AG19" s="22" t="b">
        <v>0</v>
      </c>
      <c r="AH19" s="23" t="str">
        <f t="shared" si="0"/>
        <v/>
      </c>
    </row>
    <row r="20" spans="1:34" ht="24" customHeight="1" x14ac:dyDescent="0.2">
      <c r="A20" s="8" t="s">
        <v>31</v>
      </c>
      <c r="B20" s="9" t="s">
        <v>184</v>
      </c>
      <c r="C20" s="10" t="s">
        <v>185</v>
      </c>
      <c r="D20" s="10" t="s">
        <v>186</v>
      </c>
      <c r="E20" s="10"/>
      <c r="F20" s="11" t="s">
        <v>161</v>
      </c>
      <c r="G20" s="12">
        <v>212</v>
      </c>
      <c r="H20" s="13" t="s">
        <v>187</v>
      </c>
      <c r="I20" s="14">
        <v>40848</v>
      </c>
      <c r="J20" s="14">
        <v>401769</v>
      </c>
      <c r="K20" s="15" t="s">
        <v>37</v>
      </c>
      <c r="L20" s="13" t="s">
        <v>38</v>
      </c>
      <c r="M20" s="16" t="s">
        <v>188</v>
      </c>
      <c r="N20" s="17">
        <v>1</v>
      </c>
      <c r="O20" s="17">
        <v>2</v>
      </c>
      <c r="P20" s="13" t="s">
        <v>40</v>
      </c>
      <c r="Q20" s="13" t="s">
        <v>42</v>
      </c>
      <c r="R20" s="13" t="s">
        <v>43</v>
      </c>
      <c r="S20" s="13" t="s">
        <v>40</v>
      </c>
      <c r="T20" s="13" t="s">
        <v>44</v>
      </c>
      <c r="U20" s="17">
        <v>3</v>
      </c>
      <c r="V20" s="17">
        <v>1</v>
      </c>
      <c r="W20" s="13" t="s">
        <v>189</v>
      </c>
      <c r="X20" s="27" t="s">
        <v>190</v>
      </c>
      <c r="Y20" s="13" t="s">
        <v>185</v>
      </c>
      <c r="Z20" s="13" t="s">
        <v>186</v>
      </c>
      <c r="AA20" s="13" t="s">
        <v>191</v>
      </c>
      <c r="AB20" s="18" t="s">
        <v>192</v>
      </c>
      <c r="AC20" s="13" t="s">
        <v>45</v>
      </c>
      <c r="AD20" s="17">
        <v>70.27</v>
      </c>
      <c r="AE20" s="17">
        <v>70.27</v>
      </c>
      <c r="AF20" s="20">
        <v>236</v>
      </c>
      <c r="AG20" s="22" t="b">
        <v>0</v>
      </c>
      <c r="AH20" s="23" t="str">
        <f t="shared" si="0"/>
        <v/>
      </c>
    </row>
    <row r="21" spans="1:34" ht="24" customHeight="1" x14ac:dyDescent="0.2">
      <c r="A21" s="8" t="s">
        <v>31</v>
      </c>
      <c r="B21" s="9" t="s">
        <v>193</v>
      </c>
      <c r="C21" s="10" t="s">
        <v>33</v>
      </c>
      <c r="D21" s="10" t="s">
        <v>194</v>
      </c>
      <c r="E21" s="10"/>
      <c r="F21" s="11" t="s">
        <v>161</v>
      </c>
      <c r="G21" s="12">
        <v>213</v>
      </c>
      <c r="H21" s="13" t="s">
        <v>195</v>
      </c>
      <c r="I21" s="14">
        <v>45444</v>
      </c>
      <c r="J21" s="14">
        <v>401769</v>
      </c>
      <c r="K21" s="15" t="s">
        <v>37</v>
      </c>
      <c r="L21" s="13" t="s">
        <v>38</v>
      </c>
      <c r="M21" s="16" t="s">
        <v>196</v>
      </c>
      <c r="N21" s="17">
        <v>1</v>
      </c>
      <c r="O21" s="17">
        <v>2</v>
      </c>
      <c r="P21" s="13" t="s">
        <v>40</v>
      </c>
      <c r="Q21" s="13" t="s">
        <v>197</v>
      </c>
      <c r="R21" s="13" t="s">
        <v>198</v>
      </c>
      <c r="S21" s="13" t="s">
        <v>199</v>
      </c>
      <c r="T21" s="13" t="s">
        <v>44</v>
      </c>
      <c r="U21" s="17">
        <v>1</v>
      </c>
      <c r="V21" s="17">
        <v>1</v>
      </c>
      <c r="W21" s="13"/>
      <c r="X21" s="27"/>
      <c r="Y21" s="13" t="s">
        <v>33</v>
      </c>
      <c r="Z21" s="13" t="s">
        <v>194</v>
      </c>
      <c r="AA21" s="13"/>
      <c r="AB21" s="18"/>
      <c r="AC21" s="13" t="s">
        <v>45</v>
      </c>
      <c r="AD21" s="17">
        <v>28.22</v>
      </c>
      <c r="AE21" s="17">
        <v>28.22</v>
      </c>
      <c r="AF21" s="20">
        <v>96</v>
      </c>
      <c r="AG21" s="22" t="b">
        <v>0</v>
      </c>
      <c r="AH21" s="23" t="str">
        <f t="shared" si="0"/>
        <v/>
      </c>
    </row>
    <row r="22" spans="1:34" ht="24" customHeight="1" x14ac:dyDescent="0.2">
      <c r="A22" s="8" t="s">
        <v>31</v>
      </c>
      <c r="B22" s="9" t="s">
        <v>200</v>
      </c>
      <c r="C22" s="10" t="s">
        <v>201</v>
      </c>
      <c r="D22" s="10" t="s">
        <v>202</v>
      </c>
      <c r="E22" s="10" t="s">
        <v>203</v>
      </c>
      <c r="F22" s="11" t="s">
        <v>161</v>
      </c>
      <c r="G22" s="12">
        <v>221</v>
      </c>
      <c r="H22" s="13" t="s">
        <v>204</v>
      </c>
      <c r="I22" s="14">
        <v>44348</v>
      </c>
      <c r="J22" s="14">
        <v>401769</v>
      </c>
      <c r="K22" s="15" t="s">
        <v>37</v>
      </c>
      <c r="L22" s="13" t="s">
        <v>38</v>
      </c>
      <c r="M22" s="16" t="s">
        <v>205</v>
      </c>
      <c r="N22" s="17">
        <v>2</v>
      </c>
      <c r="O22" s="17">
        <v>3</v>
      </c>
      <c r="P22" s="13" t="s">
        <v>40</v>
      </c>
      <c r="Q22" s="13" t="s">
        <v>206</v>
      </c>
      <c r="R22" s="13" t="s">
        <v>207</v>
      </c>
      <c r="S22" s="13" t="s">
        <v>208</v>
      </c>
      <c r="T22" s="13" t="s">
        <v>44</v>
      </c>
      <c r="U22" s="17">
        <v>1</v>
      </c>
      <c r="V22" s="17">
        <v>1</v>
      </c>
      <c r="W22" s="13"/>
      <c r="X22" s="27" t="s">
        <v>209</v>
      </c>
      <c r="Y22" s="13" t="s">
        <v>201</v>
      </c>
      <c r="Z22" s="13" t="s">
        <v>202</v>
      </c>
      <c r="AA22" s="13"/>
      <c r="AB22" s="18"/>
      <c r="AC22" s="13" t="s">
        <v>45</v>
      </c>
      <c r="AD22" s="17">
        <v>28.22</v>
      </c>
      <c r="AE22" s="17">
        <v>28.22</v>
      </c>
      <c r="AF22" s="20">
        <v>96</v>
      </c>
      <c r="AG22" s="22" t="b">
        <v>0</v>
      </c>
      <c r="AH22" s="23" t="str">
        <f t="shared" si="0"/>
        <v/>
      </c>
    </row>
    <row r="23" spans="1:34" ht="24" customHeight="1" x14ac:dyDescent="0.2">
      <c r="A23" s="8" t="s">
        <v>31</v>
      </c>
      <c r="B23" s="9" t="s">
        <v>210</v>
      </c>
      <c r="C23" s="10" t="s">
        <v>211</v>
      </c>
      <c r="D23" s="10" t="s">
        <v>212</v>
      </c>
      <c r="E23" s="10"/>
      <c r="F23" s="11" t="s">
        <v>161</v>
      </c>
      <c r="G23" s="12">
        <v>222</v>
      </c>
      <c r="H23" s="13" t="s">
        <v>213</v>
      </c>
      <c r="I23" s="14">
        <v>44440</v>
      </c>
      <c r="J23" s="14">
        <v>401769</v>
      </c>
      <c r="K23" s="15" t="s">
        <v>37</v>
      </c>
      <c r="L23" s="13" t="s">
        <v>38</v>
      </c>
      <c r="M23" s="16" t="s">
        <v>214</v>
      </c>
      <c r="N23" s="17">
        <v>2</v>
      </c>
      <c r="O23" s="17">
        <v>3</v>
      </c>
      <c r="P23" s="13" t="s">
        <v>40</v>
      </c>
      <c r="Q23" s="13" t="s">
        <v>41</v>
      </c>
      <c r="R23" s="13" t="s">
        <v>43</v>
      </c>
      <c r="S23" s="13" t="s">
        <v>52</v>
      </c>
      <c r="T23" s="13" t="s">
        <v>44</v>
      </c>
      <c r="U23" s="17">
        <v>2</v>
      </c>
      <c r="V23" s="17">
        <v>1</v>
      </c>
      <c r="W23" s="13"/>
      <c r="X23" s="27" t="s">
        <v>215</v>
      </c>
      <c r="Y23" s="13" t="s">
        <v>211</v>
      </c>
      <c r="Z23" s="13" t="s">
        <v>212</v>
      </c>
      <c r="AA23" s="13"/>
      <c r="AB23" s="18"/>
      <c r="AC23" s="13" t="s">
        <v>45</v>
      </c>
      <c r="AD23" s="17">
        <v>70.27</v>
      </c>
      <c r="AE23" s="17">
        <v>70.27</v>
      </c>
      <c r="AF23" s="20">
        <v>236</v>
      </c>
      <c r="AG23" s="22" t="b">
        <v>0</v>
      </c>
      <c r="AH23" s="23" t="str">
        <f t="shared" si="0"/>
        <v/>
      </c>
    </row>
    <row r="24" spans="1:34" ht="24" customHeight="1" x14ac:dyDescent="0.2">
      <c r="A24" s="8" t="s">
        <v>31</v>
      </c>
      <c r="B24" s="9" t="s">
        <v>216</v>
      </c>
      <c r="C24" s="10" t="s">
        <v>217</v>
      </c>
      <c r="D24" s="10" t="s">
        <v>218</v>
      </c>
      <c r="E24" s="10"/>
      <c r="F24" s="11" t="s">
        <v>161</v>
      </c>
      <c r="G24" s="12">
        <v>223</v>
      </c>
      <c r="H24" s="13" t="s">
        <v>219</v>
      </c>
      <c r="I24" s="14">
        <v>39814</v>
      </c>
      <c r="J24" s="14">
        <v>401769</v>
      </c>
      <c r="K24" s="15" t="s">
        <v>37</v>
      </c>
      <c r="L24" s="13" t="s">
        <v>38</v>
      </c>
      <c r="M24" s="16" t="s">
        <v>220</v>
      </c>
      <c r="N24" s="17">
        <v>2</v>
      </c>
      <c r="O24" s="17">
        <v>3</v>
      </c>
      <c r="P24" s="13" t="s">
        <v>40</v>
      </c>
      <c r="Q24" s="13" t="s">
        <v>221</v>
      </c>
      <c r="R24" s="13" t="s">
        <v>43</v>
      </c>
      <c r="S24" s="13" t="s">
        <v>40</v>
      </c>
      <c r="T24" s="13" t="s">
        <v>44</v>
      </c>
      <c r="U24" s="17">
        <v>1</v>
      </c>
      <c r="V24" s="17">
        <v>1</v>
      </c>
      <c r="W24" s="13"/>
      <c r="X24" s="27" t="s">
        <v>222</v>
      </c>
      <c r="Y24" s="13" t="s">
        <v>217</v>
      </c>
      <c r="Z24" s="13" t="s">
        <v>218</v>
      </c>
      <c r="AA24" s="13" t="s">
        <v>223</v>
      </c>
      <c r="AB24" s="18" t="s">
        <v>224</v>
      </c>
      <c r="AC24" s="13" t="s">
        <v>45</v>
      </c>
      <c r="AD24" s="17">
        <v>28.22</v>
      </c>
      <c r="AE24" s="17">
        <v>28.22</v>
      </c>
      <c r="AF24" s="20">
        <v>96</v>
      </c>
      <c r="AG24" s="22" t="b">
        <v>0</v>
      </c>
      <c r="AH24" s="23" t="str">
        <f t="shared" si="0"/>
        <v/>
      </c>
    </row>
    <row r="25" spans="1:34" ht="24" customHeight="1" x14ac:dyDescent="0.2">
      <c r="A25" s="8" t="s">
        <v>31</v>
      </c>
      <c r="B25" s="9" t="s">
        <v>225</v>
      </c>
      <c r="C25" s="10" t="s">
        <v>33</v>
      </c>
      <c r="D25" s="10" t="s">
        <v>226</v>
      </c>
      <c r="E25" s="10"/>
      <c r="F25" s="11" t="s">
        <v>161</v>
      </c>
      <c r="G25" s="12">
        <v>231</v>
      </c>
      <c r="H25" s="13" t="s">
        <v>227</v>
      </c>
      <c r="I25" s="14">
        <v>42036</v>
      </c>
      <c r="J25" s="14">
        <v>401769</v>
      </c>
      <c r="K25" s="15" t="s">
        <v>37</v>
      </c>
      <c r="L25" s="13" t="s">
        <v>38</v>
      </c>
      <c r="M25" s="16" t="s">
        <v>228</v>
      </c>
      <c r="N25" s="17">
        <v>3</v>
      </c>
      <c r="O25" s="17">
        <v>4</v>
      </c>
      <c r="P25" s="13" t="s">
        <v>40</v>
      </c>
      <c r="Q25" s="13" t="s">
        <v>229</v>
      </c>
      <c r="R25" s="13" t="s">
        <v>43</v>
      </c>
      <c r="S25" s="13" t="s">
        <v>40</v>
      </c>
      <c r="T25" s="13" t="s">
        <v>44</v>
      </c>
      <c r="U25" s="17">
        <v>2</v>
      </c>
      <c r="V25" s="17">
        <v>1</v>
      </c>
      <c r="W25" s="13"/>
      <c r="X25" s="27" t="s">
        <v>230</v>
      </c>
      <c r="Y25" s="13" t="s">
        <v>33</v>
      </c>
      <c r="Z25" s="13" t="s">
        <v>226</v>
      </c>
      <c r="AA25" s="13" t="s">
        <v>231</v>
      </c>
      <c r="AB25" s="18" t="s">
        <v>232</v>
      </c>
      <c r="AC25" s="13" t="s">
        <v>45</v>
      </c>
      <c r="AD25" s="17">
        <v>28.22</v>
      </c>
      <c r="AE25" s="17">
        <v>28.22</v>
      </c>
      <c r="AF25" s="20">
        <v>96</v>
      </c>
      <c r="AG25" s="22" t="b">
        <v>0</v>
      </c>
      <c r="AH25" s="23" t="str">
        <f t="shared" si="0"/>
        <v/>
      </c>
    </row>
    <row r="26" spans="1:34" ht="24" customHeight="1" x14ac:dyDescent="0.2">
      <c r="A26" s="8" t="s">
        <v>31</v>
      </c>
      <c r="B26" s="9" t="s">
        <v>233</v>
      </c>
      <c r="C26" s="10" t="s">
        <v>234</v>
      </c>
      <c r="D26" s="10" t="s">
        <v>235</v>
      </c>
      <c r="E26" s="10"/>
      <c r="F26" s="11" t="s">
        <v>161</v>
      </c>
      <c r="G26" s="12">
        <v>232</v>
      </c>
      <c r="H26" s="13" t="s">
        <v>236</v>
      </c>
      <c r="I26" s="14">
        <v>41395</v>
      </c>
      <c r="J26" s="14">
        <v>401769</v>
      </c>
      <c r="K26" s="15" t="s">
        <v>37</v>
      </c>
      <c r="L26" s="13" t="s">
        <v>38</v>
      </c>
      <c r="M26" s="16" t="s">
        <v>237</v>
      </c>
      <c r="N26" s="17">
        <v>3</v>
      </c>
      <c r="O26" s="17">
        <v>4</v>
      </c>
      <c r="P26" s="13" t="s">
        <v>40</v>
      </c>
      <c r="Q26" s="13" t="s">
        <v>42</v>
      </c>
      <c r="R26" s="13" t="s">
        <v>43</v>
      </c>
      <c r="S26" s="13" t="s">
        <v>40</v>
      </c>
      <c r="T26" s="13" t="s">
        <v>44</v>
      </c>
      <c r="U26" s="17">
        <v>2</v>
      </c>
      <c r="V26" s="17">
        <v>1</v>
      </c>
      <c r="W26" s="13"/>
      <c r="X26" s="27" t="s">
        <v>238</v>
      </c>
      <c r="Y26" s="13" t="s">
        <v>234</v>
      </c>
      <c r="Z26" s="13" t="s">
        <v>235</v>
      </c>
      <c r="AA26" s="13" t="s">
        <v>239</v>
      </c>
      <c r="AB26" s="18" t="s">
        <v>240</v>
      </c>
      <c r="AC26" s="13" t="s">
        <v>45</v>
      </c>
      <c r="AD26" s="17">
        <v>70.27</v>
      </c>
      <c r="AE26" s="17">
        <v>70.27</v>
      </c>
      <c r="AF26" s="20">
        <v>236</v>
      </c>
      <c r="AG26" s="22" t="b">
        <v>0</v>
      </c>
      <c r="AH26" s="23" t="str">
        <f t="shared" si="0"/>
        <v/>
      </c>
    </row>
    <row r="27" spans="1:34" ht="24" customHeight="1" x14ac:dyDescent="0.2">
      <c r="A27" s="8" t="s">
        <v>31</v>
      </c>
      <c r="B27" s="9" t="s">
        <v>241</v>
      </c>
      <c r="C27" s="10" t="s">
        <v>242</v>
      </c>
      <c r="D27" s="10" t="s">
        <v>243</v>
      </c>
      <c r="E27" s="10"/>
      <c r="F27" s="11" t="s">
        <v>161</v>
      </c>
      <c r="G27" s="12">
        <v>233</v>
      </c>
      <c r="H27" s="13" t="s">
        <v>244</v>
      </c>
      <c r="I27" s="14">
        <v>45748</v>
      </c>
      <c r="J27" s="14">
        <v>401769</v>
      </c>
      <c r="K27" s="15" t="s">
        <v>37</v>
      </c>
      <c r="L27" s="13" t="s">
        <v>38</v>
      </c>
      <c r="M27" s="16" t="s">
        <v>245</v>
      </c>
      <c r="N27" s="17">
        <v>3</v>
      </c>
      <c r="O27" s="17">
        <v>4</v>
      </c>
      <c r="P27" s="13" t="s">
        <v>40</v>
      </c>
      <c r="Q27" s="13" t="s">
        <v>246</v>
      </c>
      <c r="R27" s="13" t="s">
        <v>247</v>
      </c>
      <c r="S27" s="13" t="s">
        <v>248</v>
      </c>
      <c r="T27" s="13" t="s">
        <v>44</v>
      </c>
      <c r="U27" s="17">
        <v>2</v>
      </c>
      <c r="V27" s="17">
        <v>1</v>
      </c>
      <c r="W27" s="13"/>
      <c r="X27" s="27" t="s">
        <v>249</v>
      </c>
      <c r="Y27" s="13" t="s">
        <v>242</v>
      </c>
      <c r="Z27" s="13" t="s">
        <v>243</v>
      </c>
      <c r="AA27" s="13"/>
      <c r="AB27" s="18"/>
      <c r="AC27" s="13" t="s">
        <v>45</v>
      </c>
      <c r="AD27" s="17">
        <v>28.22</v>
      </c>
      <c r="AE27" s="17">
        <v>28.22</v>
      </c>
      <c r="AF27" s="20">
        <v>96</v>
      </c>
      <c r="AG27" s="22" t="b">
        <v>0</v>
      </c>
      <c r="AH27" s="23" t="str">
        <f t="shared" si="0"/>
        <v/>
      </c>
    </row>
    <row r="28" spans="1:34" ht="24" customHeight="1" x14ac:dyDescent="0.2">
      <c r="A28" s="8" t="s">
        <v>31</v>
      </c>
      <c r="B28" s="9" t="s">
        <v>250</v>
      </c>
      <c r="C28" s="10" t="s">
        <v>251</v>
      </c>
      <c r="D28" s="10" t="s">
        <v>252</v>
      </c>
      <c r="E28" s="10"/>
      <c r="F28" s="11" t="s">
        <v>161</v>
      </c>
      <c r="G28" s="12">
        <v>241</v>
      </c>
      <c r="H28" s="13" t="s">
        <v>253</v>
      </c>
      <c r="I28" s="14">
        <v>45870</v>
      </c>
      <c r="J28" s="14">
        <v>401769</v>
      </c>
      <c r="K28" s="15" t="s">
        <v>37</v>
      </c>
      <c r="L28" s="13" t="s">
        <v>38</v>
      </c>
      <c r="M28" s="16" t="s">
        <v>254</v>
      </c>
      <c r="N28" s="17">
        <v>4</v>
      </c>
      <c r="O28" s="17">
        <v>5</v>
      </c>
      <c r="P28" s="13" t="s">
        <v>40</v>
      </c>
      <c r="Q28" s="13" t="s">
        <v>255</v>
      </c>
      <c r="R28" s="13" t="s">
        <v>256</v>
      </c>
      <c r="S28" s="13" t="s">
        <v>257</v>
      </c>
      <c r="T28" s="13" t="s">
        <v>44</v>
      </c>
      <c r="U28" s="17">
        <v>1</v>
      </c>
      <c r="V28" s="17">
        <v>1</v>
      </c>
      <c r="W28" s="13"/>
      <c r="X28" s="27" t="s">
        <v>258</v>
      </c>
      <c r="Y28" s="13" t="s">
        <v>251</v>
      </c>
      <c r="Z28" s="13" t="s">
        <v>252</v>
      </c>
      <c r="AA28" s="13"/>
      <c r="AB28" s="18"/>
      <c r="AC28" s="13" t="s">
        <v>45</v>
      </c>
      <c r="AD28" s="17">
        <v>28.22</v>
      </c>
      <c r="AE28" s="17">
        <v>28.22</v>
      </c>
      <c r="AF28" s="20">
        <v>96</v>
      </c>
      <c r="AG28" s="22" t="b">
        <v>0</v>
      </c>
      <c r="AH28" s="23" t="str">
        <f t="shared" si="0"/>
        <v/>
      </c>
    </row>
    <row r="29" spans="1:34" ht="24" customHeight="1" x14ac:dyDescent="0.2">
      <c r="A29" s="8" t="s">
        <v>31</v>
      </c>
      <c r="B29" s="9" t="s">
        <v>259</v>
      </c>
      <c r="C29" s="10" t="s">
        <v>260</v>
      </c>
      <c r="D29" s="10" t="s">
        <v>261</v>
      </c>
      <c r="E29" s="10"/>
      <c r="F29" s="11" t="s">
        <v>161</v>
      </c>
      <c r="G29" s="12">
        <v>242</v>
      </c>
      <c r="H29" s="13" t="s">
        <v>262</v>
      </c>
      <c r="I29" s="14">
        <v>39814</v>
      </c>
      <c r="J29" s="14">
        <v>401769</v>
      </c>
      <c r="K29" s="15" t="s">
        <v>37</v>
      </c>
      <c r="L29" s="13" t="s">
        <v>38</v>
      </c>
      <c r="M29" s="16" t="s">
        <v>263</v>
      </c>
      <c r="N29" s="17">
        <v>4</v>
      </c>
      <c r="O29" s="17">
        <v>5</v>
      </c>
      <c r="P29" s="13" t="s">
        <v>40</v>
      </c>
      <c r="Q29" s="13" t="s">
        <v>264</v>
      </c>
      <c r="R29" s="13" t="s">
        <v>265</v>
      </c>
      <c r="S29" s="13" t="s">
        <v>266</v>
      </c>
      <c r="T29" s="13" t="s">
        <v>44</v>
      </c>
      <c r="U29" s="17">
        <v>4</v>
      </c>
      <c r="V29" s="17">
        <v>1</v>
      </c>
      <c r="W29" s="13"/>
      <c r="X29" s="27" t="s">
        <v>267</v>
      </c>
      <c r="Y29" s="13" t="s">
        <v>260</v>
      </c>
      <c r="Z29" s="13" t="s">
        <v>261</v>
      </c>
      <c r="AA29" s="13" t="s">
        <v>268</v>
      </c>
      <c r="AB29" s="18" t="s">
        <v>269</v>
      </c>
      <c r="AC29" s="13" t="s">
        <v>45</v>
      </c>
      <c r="AD29" s="17">
        <v>70.27</v>
      </c>
      <c r="AE29" s="17">
        <v>70.27</v>
      </c>
      <c r="AF29" s="20">
        <v>236</v>
      </c>
      <c r="AG29" s="22" t="b">
        <v>0</v>
      </c>
      <c r="AH29" s="23" t="str">
        <f t="shared" si="0"/>
        <v/>
      </c>
    </row>
    <row r="30" spans="1:34" ht="24" customHeight="1" x14ac:dyDescent="0.2">
      <c r="A30" s="8" t="s">
        <v>31</v>
      </c>
      <c r="B30" s="9" t="s">
        <v>270</v>
      </c>
      <c r="C30" s="10" t="s">
        <v>47</v>
      </c>
      <c r="D30" s="10" t="s">
        <v>271</v>
      </c>
      <c r="E30" s="10"/>
      <c r="F30" s="11" t="s">
        <v>161</v>
      </c>
      <c r="G30" s="12">
        <v>243</v>
      </c>
      <c r="H30" s="13"/>
      <c r="I30" s="14">
        <v>40299</v>
      </c>
      <c r="J30" s="14">
        <v>401769</v>
      </c>
      <c r="K30" s="15" t="s">
        <v>37</v>
      </c>
      <c r="L30" s="13" t="s">
        <v>38</v>
      </c>
      <c r="M30" s="16" t="s">
        <v>272</v>
      </c>
      <c r="N30" s="17">
        <v>4</v>
      </c>
      <c r="O30" s="17">
        <v>5</v>
      </c>
      <c r="P30" s="13" t="s">
        <v>40</v>
      </c>
      <c r="Q30" s="13" t="s">
        <v>42</v>
      </c>
      <c r="R30" s="13" t="s">
        <v>43</v>
      </c>
      <c r="S30" s="13" t="s">
        <v>40</v>
      </c>
      <c r="T30" s="13" t="s">
        <v>44</v>
      </c>
      <c r="U30" s="17">
        <v>1</v>
      </c>
      <c r="V30" s="17">
        <v>1</v>
      </c>
      <c r="W30" s="13"/>
      <c r="X30" s="27" t="s">
        <v>273</v>
      </c>
      <c r="Y30" s="13" t="s">
        <v>47</v>
      </c>
      <c r="Z30" s="13" t="s">
        <v>271</v>
      </c>
      <c r="AA30" s="13" t="s">
        <v>274</v>
      </c>
      <c r="AB30" s="18" t="s">
        <v>275</v>
      </c>
      <c r="AC30" s="13" t="s">
        <v>45</v>
      </c>
      <c r="AD30" s="17">
        <v>28.22</v>
      </c>
      <c r="AE30" s="17">
        <v>28.22</v>
      </c>
      <c r="AF30" s="20">
        <v>96</v>
      </c>
      <c r="AG30" s="22" t="b">
        <v>1</v>
      </c>
      <c r="AH30" s="23">
        <f t="shared" si="0"/>
        <v>96</v>
      </c>
    </row>
    <row r="31" spans="1:34" ht="24" customHeight="1" x14ac:dyDescent="0.2">
      <c r="A31" s="8" t="s">
        <v>31</v>
      </c>
      <c r="B31" s="9" t="s">
        <v>276</v>
      </c>
      <c r="C31" s="10" t="s">
        <v>277</v>
      </c>
      <c r="D31" s="10" t="s">
        <v>278</v>
      </c>
      <c r="E31" s="10"/>
      <c r="F31" s="11" t="s">
        <v>279</v>
      </c>
      <c r="G31" s="12">
        <v>301</v>
      </c>
      <c r="H31" s="13" t="s">
        <v>280</v>
      </c>
      <c r="I31" s="14">
        <v>45901</v>
      </c>
      <c r="J31" s="14">
        <v>401769</v>
      </c>
      <c r="K31" s="15" t="s">
        <v>37</v>
      </c>
      <c r="L31" s="13" t="s">
        <v>38</v>
      </c>
      <c r="M31" s="16" t="s">
        <v>281</v>
      </c>
      <c r="N31" s="17">
        <v>0</v>
      </c>
      <c r="O31" s="17">
        <v>1</v>
      </c>
      <c r="P31" s="13" t="s">
        <v>40</v>
      </c>
      <c r="Q31" s="13" t="s">
        <v>41</v>
      </c>
      <c r="R31" s="13" t="s">
        <v>43</v>
      </c>
      <c r="S31" s="13" t="s">
        <v>52</v>
      </c>
      <c r="T31" s="13" t="s">
        <v>44</v>
      </c>
      <c r="U31" s="17">
        <v>3</v>
      </c>
      <c r="V31" s="17">
        <v>1</v>
      </c>
      <c r="W31" s="13" t="s">
        <v>282</v>
      </c>
      <c r="X31" s="27" t="s">
        <v>283</v>
      </c>
      <c r="Y31" s="13" t="s">
        <v>277</v>
      </c>
      <c r="Z31" s="13" t="s">
        <v>278</v>
      </c>
      <c r="AA31" s="13"/>
      <c r="AB31" s="18" t="s">
        <v>284</v>
      </c>
      <c r="AC31" s="13" t="s">
        <v>45</v>
      </c>
      <c r="AD31" s="17">
        <v>67.47</v>
      </c>
      <c r="AE31" s="17">
        <v>67.47</v>
      </c>
      <c r="AF31" s="20">
        <v>226</v>
      </c>
      <c r="AG31" s="22" t="b">
        <v>0</v>
      </c>
      <c r="AH31" s="23" t="str">
        <f t="shared" si="0"/>
        <v/>
      </c>
    </row>
    <row r="32" spans="1:34" ht="24" customHeight="1" x14ac:dyDescent="0.2">
      <c r="A32" s="8" t="s">
        <v>31</v>
      </c>
      <c r="B32" s="9" t="s">
        <v>285</v>
      </c>
      <c r="C32" s="10" t="s">
        <v>286</v>
      </c>
      <c r="D32" s="10" t="s">
        <v>287</v>
      </c>
      <c r="E32" s="10"/>
      <c r="F32" s="11" t="s">
        <v>279</v>
      </c>
      <c r="G32" s="12">
        <v>302</v>
      </c>
      <c r="H32" s="13" t="s">
        <v>632</v>
      </c>
      <c r="I32" s="14">
        <v>39814</v>
      </c>
      <c r="J32" s="14">
        <v>401769</v>
      </c>
      <c r="K32" s="15" t="s">
        <v>37</v>
      </c>
      <c r="L32" s="13" t="s">
        <v>38</v>
      </c>
      <c r="M32" s="16" t="s">
        <v>288</v>
      </c>
      <c r="N32" s="17">
        <v>0</v>
      </c>
      <c r="O32" s="17">
        <v>1</v>
      </c>
      <c r="P32" s="13" t="s">
        <v>40</v>
      </c>
      <c r="Q32" s="13" t="s">
        <v>42</v>
      </c>
      <c r="R32" s="13" t="s">
        <v>43</v>
      </c>
      <c r="S32" s="13" t="s">
        <v>40</v>
      </c>
      <c r="T32" s="13" t="s">
        <v>44</v>
      </c>
      <c r="U32" s="17">
        <v>2</v>
      </c>
      <c r="V32" s="17">
        <v>1</v>
      </c>
      <c r="W32" s="13"/>
      <c r="X32" s="27" t="s">
        <v>289</v>
      </c>
      <c r="Y32" s="13" t="s">
        <v>286</v>
      </c>
      <c r="Z32" s="13" t="s">
        <v>287</v>
      </c>
      <c r="AA32" s="13" t="s">
        <v>290</v>
      </c>
      <c r="AB32" s="18" t="s">
        <v>291</v>
      </c>
      <c r="AC32" s="13" t="s">
        <v>45</v>
      </c>
      <c r="AD32" s="17">
        <v>26.82</v>
      </c>
      <c r="AE32" s="17">
        <v>26.82</v>
      </c>
      <c r="AF32" s="20">
        <v>90</v>
      </c>
      <c r="AG32" s="22" t="b">
        <v>1</v>
      </c>
      <c r="AH32" s="23">
        <f t="shared" si="0"/>
        <v>90</v>
      </c>
    </row>
    <row r="33" spans="1:34" ht="24" customHeight="1" x14ac:dyDescent="0.2">
      <c r="A33" s="8" t="s">
        <v>31</v>
      </c>
      <c r="B33" s="9" t="s">
        <v>292</v>
      </c>
      <c r="C33" s="10" t="s">
        <v>293</v>
      </c>
      <c r="D33" s="10" t="s">
        <v>294</v>
      </c>
      <c r="E33" s="10"/>
      <c r="F33" s="11" t="s">
        <v>279</v>
      </c>
      <c r="G33" s="12">
        <v>311</v>
      </c>
      <c r="H33" s="13" t="s">
        <v>295</v>
      </c>
      <c r="I33" s="14">
        <v>42736</v>
      </c>
      <c r="J33" s="14">
        <v>401769</v>
      </c>
      <c r="K33" s="15" t="s">
        <v>37</v>
      </c>
      <c r="L33" s="13" t="s">
        <v>38</v>
      </c>
      <c r="M33" s="16" t="s">
        <v>296</v>
      </c>
      <c r="N33" s="17">
        <v>1</v>
      </c>
      <c r="O33" s="17">
        <v>2</v>
      </c>
      <c r="P33" s="13" t="s">
        <v>40</v>
      </c>
      <c r="Q33" s="13" t="s">
        <v>297</v>
      </c>
      <c r="R33" s="13" t="s">
        <v>79</v>
      </c>
      <c r="S33" s="13" t="s">
        <v>80</v>
      </c>
      <c r="T33" s="13" t="s">
        <v>44</v>
      </c>
      <c r="U33" s="17">
        <v>1</v>
      </c>
      <c r="V33" s="17">
        <v>1</v>
      </c>
      <c r="W33" s="13"/>
      <c r="X33" s="27" t="s">
        <v>298</v>
      </c>
      <c r="Y33" s="13" t="s">
        <v>293</v>
      </c>
      <c r="Z33" s="13" t="s">
        <v>294</v>
      </c>
      <c r="AA33" s="13" t="s">
        <v>299</v>
      </c>
      <c r="AB33" s="18" t="s">
        <v>300</v>
      </c>
      <c r="AC33" s="13" t="s">
        <v>45</v>
      </c>
      <c r="AD33" s="17">
        <v>28.22</v>
      </c>
      <c r="AE33" s="17">
        <v>28.22</v>
      </c>
      <c r="AF33" s="20">
        <v>96</v>
      </c>
      <c r="AG33" s="22" t="b">
        <v>0</v>
      </c>
      <c r="AH33" s="23" t="str">
        <f t="shared" si="0"/>
        <v/>
      </c>
    </row>
    <row r="34" spans="1:34" ht="24" customHeight="1" x14ac:dyDescent="0.2">
      <c r="A34" s="8" t="s">
        <v>31</v>
      </c>
      <c r="B34" s="9" t="s">
        <v>301</v>
      </c>
      <c r="C34" s="10" t="s">
        <v>302</v>
      </c>
      <c r="D34" s="10" t="s">
        <v>303</v>
      </c>
      <c r="E34" s="10"/>
      <c r="F34" s="11" t="s">
        <v>279</v>
      </c>
      <c r="G34" s="12">
        <v>312</v>
      </c>
      <c r="H34" s="13" t="s">
        <v>624</v>
      </c>
      <c r="I34" s="14">
        <v>41821</v>
      </c>
      <c r="J34" s="14">
        <v>401769</v>
      </c>
      <c r="K34" s="15" t="s">
        <v>37</v>
      </c>
      <c r="L34" s="13" t="s">
        <v>38</v>
      </c>
      <c r="M34" s="16" t="s">
        <v>304</v>
      </c>
      <c r="N34" s="17">
        <v>1</v>
      </c>
      <c r="O34" s="17">
        <v>2</v>
      </c>
      <c r="P34" s="13" t="s">
        <v>40</v>
      </c>
      <c r="Q34" s="13" t="s">
        <v>42</v>
      </c>
      <c r="R34" s="13" t="s">
        <v>43</v>
      </c>
      <c r="S34" s="13" t="s">
        <v>40</v>
      </c>
      <c r="T34" s="13" t="s">
        <v>44</v>
      </c>
      <c r="U34" s="17">
        <v>4</v>
      </c>
      <c r="V34" s="17">
        <v>1</v>
      </c>
      <c r="W34" s="13"/>
      <c r="X34" s="27" t="s">
        <v>305</v>
      </c>
      <c r="Y34" s="13" t="s">
        <v>302</v>
      </c>
      <c r="Z34" s="13" t="s">
        <v>303</v>
      </c>
      <c r="AA34" s="13" t="s">
        <v>306</v>
      </c>
      <c r="AB34" s="18" t="s">
        <v>307</v>
      </c>
      <c r="AC34" s="13" t="s">
        <v>45</v>
      </c>
      <c r="AD34" s="17">
        <v>70.27</v>
      </c>
      <c r="AE34" s="17">
        <v>70.27</v>
      </c>
      <c r="AF34" s="20">
        <v>236</v>
      </c>
      <c r="AG34" s="22" t="b">
        <v>1</v>
      </c>
      <c r="AH34" s="23">
        <f t="shared" si="0"/>
        <v>236</v>
      </c>
    </row>
    <row r="35" spans="1:34" ht="24" customHeight="1" x14ac:dyDescent="0.2">
      <c r="A35" s="8" t="s">
        <v>31</v>
      </c>
      <c r="B35" s="9" t="s">
        <v>308</v>
      </c>
      <c r="C35" s="10" t="s">
        <v>309</v>
      </c>
      <c r="D35" s="10" t="s">
        <v>310</v>
      </c>
      <c r="E35" s="10" t="s">
        <v>203</v>
      </c>
      <c r="F35" s="11" t="s">
        <v>279</v>
      </c>
      <c r="G35" s="12">
        <v>313</v>
      </c>
      <c r="H35" s="13" t="s">
        <v>311</v>
      </c>
      <c r="I35" s="14">
        <v>45444</v>
      </c>
      <c r="J35" s="14">
        <v>401769</v>
      </c>
      <c r="K35" s="15" t="s">
        <v>37</v>
      </c>
      <c r="L35" s="13" t="s">
        <v>38</v>
      </c>
      <c r="M35" s="16" t="s">
        <v>312</v>
      </c>
      <c r="N35" s="17">
        <v>1</v>
      </c>
      <c r="O35" s="17">
        <v>2</v>
      </c>
      <c r="P35" s="13" t="s">
        <v>40</v>
      </c>
      <c r="Q35" s="13" t="s">
        <v>41</v>
      </c>
      <c r="R35" s="13" t="s">
        <v>43</v>
      </c>
      <c r="S35" s="13" t="s">
        <v>52</v>
      </c>
      <c r="T35" s="13" t="s">
        <v>44</v>
      </c>
      <c r="U35" s="17">
        <v>1</v>
      </c>
      <c r="V35" s="17">
        <v>1</v>
      </c>
      <c r="W35" s="13"/>
      <c r="X35" s="27" t="s">
        <v>313</v>
      </c>
      <c r="Y35" s="13" t="s">
        <v>309</v>
      </c>
      <c r="Z35" s="13" t="s">
        <v>310</v>
      </c>
      <c r="AA35" s="13"/>
      <c r="AB35" s="18"/>
      <c r="AC35" s="13" t="s">
        <v>45</v>
      </c>
      <c r="AD35" s="17">
        <v>28.22</v>
      </c>
      <c r="AE35" s="17">
        <v>28.22</v>
      </c>
      <c r="AF35" s="20">
        <v>96</v>
      </c>
      <c r="AG35" s="22" t="b">
        <v>0</v>
      </c>
      <c r="AH35" s="23" t="str">
        <f t="shared" si="0"/>
        <v/>
      </c>
    </row>
    <row r="36" spans="1:34" ht="24" customHeight="1" x14ac:dyDescent="0.2">
      <c r="A36" s="8" t="s">
        <v>31</v>
      </c>
      <c r="B36" s="9" t="s">
        <v>314</v>
      </c>
      <c r="C36" s="10" t="s">
        <v>315</v>
      </c>
      <c r="D36" s="10" t="s">
        <v>316</v>
      </c>
      <c r="E36" s="10"/>
      <c r="F36" s="11" t="s">
        <v>279</v>
      </c>
      <c r="G36" s="12">
        <v>321</v>
      </c>
      <c r="H36" s="13" t="s">
        <v>317</v>
      </c>
      <c r="I36" s="14">
        <v>39814</v>
      </c>
      <c r="J36" s="14">
        <v>401769</v>
      </c>
      <c r="K36" s="15" t="s">
        <v>37</v>
      </c>
      <c r="L36" s="13" t="s">
        <v>38</v>
      </c>
      <c r="M36" s="16" t="s">
        <v>318</v>
      </c>
      <c r="N36" s="17">
        <v>2</v>
      </c>
      <c r="O36" s="17">
        <v>3</v>
      </c>
      <c r="P36" s="13" t="s">
        <v>40</v>
      </c>
      <c r="Q36" s="13" t="s">
        <v>42</v>
      </c>
      <c r="R36" s="13" t="s">
        <v>43</v>
      </c>
      <c r="S36" s="13" t="s">
        <v>40</v>
      </c>
      <c r="T36" s="13" t="s">
        <v>44</v>
      </c>
      <c r="U36" s="17">
        <v>2</v>
      </c>
      <c r="V36" s="17">
        <v>1</v>
      </c>
      <c r="W36" s="13"/>
      <c r="X36" s="27" t="s">
        <v>319</v>
      </c>
      <c r="Y36" s="13" t="s">
        <v>315</v>
      </c>
      <c r="Z36" s="13" t="s">
        <v>316</v>
      </c>
      <c r="AA36" s="13" t="s">
        <v>320</v>
      </c>
      <c r="AB36" s="18" t="s">
        <v>321</v>
      </c>
      <c r="AC36" s="13" t="s">
        <v>45</v>
      </c>
      <c r="AD36" s="17">
        <v>28.22</v>
      </c>
      <c r="AE36" s="17">
        <v>28.22</v>
      </c>
      <c r="AF36" s="20">
        <v>96</v>
      </c>
      <c r="AG36" s="22" t="b">
        <v>0</v>
      </c>
      <c r="AH36" s="23" t="str">
        <f t="shared" si="0"/>
        <v/>
      </c>
    </row>
    <row r="37" spans="1:34" ht="24" customHeight="1" x14ac:dyDescent="0.2">
      <c r="A37" s="8" t="s">
        <v>31</v>
      </c>
      <c r="B37" s="9" t="s">
        <v>322</v>
      </c>
      <c r="C37" s="10" t="s">
        <v>315</v>
      </c>
      <c r="D37" s="10" t="s">
        <v>323</v>
      </c>
      <c r="E37" s="10"/>
      <c r="F37" s="11" t="s">
        <v>279</v>
      </c>
      <c r="G37" s="12">
        <v>322</v>
      </c>
      <c r="H37" s="13" t="s">
        <v>324</v>
      </c>
      <c r="I37" s="14">
        <v>39814</v>
      </c>
      <c r="J37" s="14">
        <v>401769</v>
      </c>
      <c r="K37" s="15" t="s">
        <v>37</v>
      </c>
      <c r="L37" s="13" t="s">
        <v>38</v>
      </c>
      <c r="M37" s="16" t="s">
        <v>325</v>
      </c>
      <c r="N37" s="17">
        <v>2</v>
      </c>
      <c r="O37" s="17">
        <v>3</v>
      </c>
      <c r="P37" s="13" t="s">
        <v>40</v>
      </c>
      <c r="Q37" s="13" t="s">
        <v>42</v>
      </c>
      <c r="R37" s="13" t="s">
        <v>43</v>
      </c>
      <c r="S37" s="13" t="s">
        <v>40</v>
      </c>
      <c r="T37" s="13" t="s">
        <v>44</v>
      </c>
      <c r="U37" s="17">
        <v>3</v>
      </c>
      <c r="V37" s="17">
        <v>1</v>
      </c>
      <c r="W37" s="13" t="s">
        <v>326</v>
      </c>
      <c r="X37" s="27" t="s">
        <v>327</v>
      </c>
      <c r="Y37" s="13" t="s">
        <v>315</v>
      </c>
      <c r="Z37" s="13" t="s">
        <v>323</v>
      </c>
      <c r="AA37" s="13" t="s">
        <v>328</v>
      </c>
      <c r="AB37" s="18" t="s">
        <v>329</v>
      </c>
      <c r="AC37" s="13" t="s">
        <v>45</v>
      </c>
      <c r="AD37" s="17">
        <v>70.27</v>
      </c>
      <c r="AE37" s="17">
        <v>70.27</v>
      </c>
      <c r="AF37" s="20">
        <v>236</v>
      </c>
      <c r="AG37" s="22" t="b">
        <v>0</v>
      </c>
      <c r="AH37" s="23" t="str">
        <f t="shared" si="0"/>
        <v/>
      </c>
    </row>
    <row r="38" spans="1:34" ht="24" customHeight="1" x14ac:dyDescent="0.2">
      <c r="A38" s="8" t="s">
        <v>31</v>
      </c>
      <c r="B38" s="9" t="s">
        <v>330</v>
      </c>
      <c r="C38" s="10" t="s">
        <v>251</v>
      </c>
      <c r="D38" s="10" t="s">
        <v>331</v>
      </c>
      <c r="E38" s="10"/>
      <c r="F38" s="11" t="s">
        <v>279</v>
      </c>
      <c r="G38" s="12">
        <v>323</v>
      </c>
      <c r="H38" s="13" t="s">
        <v>332</v>
      </c>
      <c r="I38" s="14">
        <v>39814</v>
      </c>
      <c r="J38" s="14">
        <v>401769</v>
      </c>
      <c r="K38" s="15" t="s">
        <v>37</v>
      </c>
      <c r="L38" s="13" t="s">
        <v>38</v>
      </c>
      <c r="M38" s="16" t="s">
        <v>333</v>
      </c>
      <c r="N38" s="17">
        <v>2</v>
      </c>
      <c r="O38" s="17">
        <v>3</v>
      </c>
      <c r="P38" s="13" t="s">
        <v>40</v>
      </c>
      <c r="Q38" s="13" t="s">
        <v>42</v>
      </c>
      <c r="R38" s="13" t="s">
        <v>43</v>
      </c>
      <c r="S38" s="13" t="s">
        <v>40</v>
      </c>
      <c r="T38" s="13" t="s">
        <v>44</v>
      </c>
      <c r="U38" s="17">
        <v>2</v>
      </c>
      <c r="V38" s="17">
        <v>1</v>
      </c>
      <c r="W38" s="13"/>
      <c r="X38" s="27" t="s">
        <v>334</v>
      </c>
      <c r="Y38" s="13" t="s">
        <v>251</v>
      </c>
      <c r="Z38" s="13" t="s">
        <v>331</v>
      </c>
      <c r="AA38" s="13" t="s">
        <v>629</v>
      </c>
      <c r="AB38" s="18" t="s">
        <v>335</v>
      </c>
      <c r="AC38" s="13" t="s">
        <v>45</v>
      </c>
      <c r="AD38" s="17">
        <v>28.22</v>
      </c>
      <c r="AE38" s="17">
        <v>28.22</v>
      </c>
      <c r="AF38" s="20">
        <v>96</v>
      </c>
      <c r="AG38" s="22" t="b">
        <v>0</v>
      </c>
      <c r="AH38" s="23" t="str">
        <f t="shared" si="0"/>
        <v/>
      </c>
    </row>
    <row r="39" spans="1:34" ht="24" customHeight="1" x14ac:dyDescent="0.2">
      <c r="A39" s="8" t="s">
        <v>31</v>
      </c>
      <c r="B39" s="9" t="s">
        <v>336</v>
      </c>
      <c r="C39" s="10" t="s">
        <v>185</v>
      </c>
      <c r="D39" s="10" t="s">
        <v>337</v>
      </c>
      <c r="E39" s="10" t="s">
        <v>57</v>
      </c>
      <c r="F39" s="11" t="s">
        <v>279</v>
      </c>
      <c r="G39" s="12">
        <v>331</v>
      </c>
      <c r="H39" s="13" t="s">
        <v>338</v>
      </c>
      <c r="I39" s="14">
        <v>43617</v>
      </c>
      <c r="J39" s="14">
        <v>401769</v>
      </c>
      <c r="K39" s="15" t="s">
        <v>37</v>
      </c>
      <c r="L39" s="13" t="s">
        <v>38</v>
      </c>
      <c r="M39" s="16" t="s">
        <v>339</v>
      </c>
      <c r="N39" s="17">
        <v>3</v>
      </c>
      <c r="O39" s="17">
        <v>4</v>
      </c>
      <c r="P39" s="13" t="s">
        <v>40</v>
      </c>
      <c r="Q39" s="13" t="s">
        <v>340</v>
      </c>
      <c r="R39" s="13" t="s">
        <v>79</v>
      </c>
      <c r="S39" s="13" t="s">
        <v>80</v>
      </c>
      <c r="T39" s="13" t="s">
        <v>44</v>
      </c>
      <c r="U39" s="17">
        <v>2</v>
      </c>
      <c r="V39" s="17">
        <v>1</v>
      </c>
      <c r="W39" s="13"/>
      <c r="X39" s="27" t="s">
        <v>341</v>
      </c>
      <c r="Y39" s="13" t="s">
        <v>185</v>
      </c>
      <c r="Z39" s="13" t="s">
        <v>337</v>
      </c>
      <c r="AA39" s="13" t="s">
        <v>342</v>
      </c>
      <c r="AB39" s="18" t="s">
        <v>343</v>
      </c>
      <c r="AC39" s="13" t="s">
        <v>45</v>
      </c>
      <c r="AD39" s="17">
        <v>28.22</v>
      </c>
      <c r="AE39" s="17">
        <v>28.22</v>
      </c>
      <c r="AF39" s="20">
        <v>96</v>
      </c>
      <c r="AG39" s="22" t="b">
        <v>0</v>
      </c>
      <c r="AH39" s="23" t="str">
        <f t="shared" si="0"/>
        <v/>
      </c>
    </row>
    <row r="40" spans="1:34" ht="24" customHeight="1" x14ac:dyDescent="0.2">
      <c r="A40" s="8" t="s">
        <v>31</v>
      </c>
      <c r="B40" s="9" t="s">
        <v>344</v>
      </c>
      <c r="C40" s="10" t="s">
        <v>345</v>
      </c>
      <c r="D40" s="10" t="s">
        <v>346</v>
      </c>
      <c r="E40" s="10"/>
      <c r="F40" s="11" t="s">
        <v>279</v>
      </c>
      <c r="G40" s="12">
        <v>332</v>
      </c>
      <c r="H40" s="13" t="s">
        <v>347</v>
      </c>
      <c r="I40" s="14">
        <v>44105</v>
      </c>
      <c r="J40" s="14">
        <v>401769</v>
      </c>
      <c r="K40" s="15" t="s">
        <v>37</v>
      </c>
      <c r="L40" s="13" t="s">
        <v>38</v>
      </c>
      <c r="M40" s="16" t="s">
        <v>348</v>
      </c>
      <c r="N40" s="17">
        <v>3</v>
      </c>
      <c r="O40" s="17">
        <v>4</v>
      </c>
      <c r="P40" s="13" t="s">
        <v>40</v>
      </c>
      <c r="Q40" s="13" t="s">
        <v>349</v>
      </c>
      <c r="R40" s="13" t="s">
        <v>350</v>
      </c>
      <c r="S40" s="13" t="s">
        <v>351</v>
      </c>
      <c r="T40" s="13" t="s">
        <v>44</v>
      </c>
      <c r="U40" s="17">
        <v>2</v>
      </c>
      <c r="V40" s="17">
        <v>1</v>
      </c>
      <c r="W40" s="13"/>
      <c r="X40" s="27" t="s">
        <v>352</v>
      </c>
      <c r="Y40" s="13" t="s">
        <v>345</v>
      </c>
      <c r="Z40" s="13" t="s">
        <v>346</v>
      </c>
      <c r="AA40" s="13" t="s">
        <v>353</v>
      </c>
      <c r="AB40" s="18" t="s">
        <v>354</v>
      </c>
      <c r="AC40" s="13" t="s">
        <v>45</v>
      </c>
      <c r="AD40" s="17">
        <v>70.27</v>
      </c>
      <c r="AE40" s="17">
        <v>70.27</v>
      </c>
      <c r="AF40" s="20">
        <v>236</v>
      </c>
      <c r="AG40" s="22" t="b">
        <v>0</v>
      </c>
      <c r="AH40" s="23" t="str">
        <f t="shared" si="0"/>
        <v/>
      </c>
    </row>
    <row r="41" spans="1:34" ht="24" customHeight="1" x14ac:dyDescent="0.2">
      <c r="A41" s="8" t="s">
        <v>31</v>
      </c>
      <c r="B41" s="9" t="s">
        <v>355</v>
      </c>
      <c r="C41" s="10" t="s">
        <v>185</v>
      </c>
      <c r="D41" s="10" t="s">
        <v>356</v>
      </c>
      <c r="E41" s="10"/>
      <c r="F41" s="11" t="s">
        <v>279</v>
      </c>
      <c r="G41" s="12">
        <v>333</v>
      </c>
      <c r="H41" s="13" t="s">
        <v>357</v>
      </c>
      <c r="I41" s="14">
        <v>43752</v>
      </c>
      <c r="J41" s="14">
        <v>401769</v>
      </c>
      <c r="K41" s="15" t="s">
        <v>37</v>
      </c>
      <c r="L41" s="13" t="s">
        <v>38</v>
      </c>
      <c r="M41" s="16" t="s">
        <v>358</v>
      </c>
      <c r="N41" s="17">
        <v>3</v>
      </c>
      <c r="O41" s="17">
        <v>4</v>
      </c>
      <c r="P41" s="13" t="s">
        <v>40</v>
      </c>
      <c r="Q41" s="13" t="s">
        <v>42</v>
      </c>
      <c r="R41" s="13" t="s">
        <v>43</v>
      </c>
      <c r="S41" s="13" t="s">
        <v>40</v>
      </c>
      <c r="T41" s="13" t="s">
        <v>44</v>
      </c>
      <c r="U41" s="17">
        <v>1</v>
      </c>
      <c r="V41" s="17">
        <v>1</v>
      </c>
      <c r="W41" s="13"/>
      <c r="X41" s="27" t="s">
        <v>359</v>
      </c>
      <c r="Y41" s="13" t="s">
        <v>185</v>
      </c>
      <c r="Z41" s="13" t="s">
        <v>356</v>
      </c>
      <c r="AA41" s="13" t="s">
        <v>360</v>
      </c>
      <c r="AB41" s="18" t="s">
        <v>361</v>
      </c>
      <c r="AC41" s="13" t="s">
        <v>45</v>
      </c>
      <c r="AD41" s="17">
        <v>28.22</v>
      </c>
      <c r="AE41" s="17">
        <v>28.22</v>
      </c>
      <c r="AF41" s="20">
        <v>96</v>
      </c>
      <c r="AG41" s="22" t="b">
        <v>0</v>
      </c>
      <c r="AH41" s="23" t="str">
        <f t="shared" si="0"/>
        <v/>
      </c>
    </row>
    <row r="42" spans="1:34" ht="24" customHeight="1" x14ac:dyDescent="0.2">
      <c r="A42" s="8" t="s">
        <v>31</v>
      </c>
      <c r="B42" s="9" t="s">
        <v>362</v>
      </c>
      <c r="C42" s="10" t="s">
        <v>363</v>
      </c>
      <c r="D42" s="10" t="s">
        <v>364</v>
      </c>
      <c r="E42" s="10"/>
      <c r="F42" s="11" t="s">
        <v>279</v>
      </c>
      <c r="G42" s="12">
        <v>341</v>
      </c>
      <c r="H42" s="13" t="s">
        <v>365</v>
      </c>
      <c r="I42" s="14">
        <v>44348</v>
      </c>
      <c r="J42" s="14">
        <v>401769</v>
      </c>
      <c r="K42" s="15" t="s">
        <v>37</v>
      </c>
      <c r="L42" s="13" t="s">
        <v>38</v>
      </c>
      <c r="M42" s="16" t="s">
        <v>366</v>
      </c>
      <c r="N42" s="17">
        <v>4</v>
      </c>
      <c r="O42" s="17">
        <v>5</v>
      </c>
      <c r="P42" s="13" t="s">
        <v>40</v>
      </c>
      <c r="Q42" s="13" t="s">
        <v>367</v>
      </c>
      <c r="R42" s="13" t="s">
        <v>43</v>
      </c>
      <c r="S42" s="13" t="s">
        <v>52</v>
      </c>
      <c r="T42" s="13" t="s">
        <v>44</v>
      </c>
      <c r="U42" s="17">
        <v>2</v>
      </c>
      <c r="V42" s="17">
        <v>1</v>
      </c>
      <c r="W42" s="13"/>
      <c r="X42" s="27" t="s">
        <v>368</v>
      </c>
      <c r="Y42" s="13" t="s">
        <v>363</v>
      </c>
      <c r="Z42" s="13" t="s">
        <v>364</v>
      </c>
      <c r="AA42" s="13"/>
      <c r="AB42" s="18"/>
      <c r="AC42" s="13" t="s">
        <v>45</v>
      </c>
      <c r="AD42" s="17">
        <v>28.22</v>
      </c>
      <c r="AE42" s="17">
        <v>28.22</v>
      </c>
      <c r="AF42" s="20">
        <v>96</v>
      </c>
      <c r="AG42" s="22" t="b">
        <v>0</v>
      </c>
      <c r="AH42" s="23" t="str">
        <f t="shared" si="0"/>
        <v/>
      </c>
    </row>
    <row r="43" spans="1:34" ht="24" customHeight="1" x14ac:dyDescent="0.2">
      <c r="A43" s="8" t="s">
        <v>31</v>
      </c>
      <c r="B43" s="9" t="s">
        <v>369</v>
      </c>
      <c r="C43" s="10" t="s">
        <v>370</v>
      </c>
      <c r="D43" s="10" t="s">
        <v>371</v>
      </c>
      <c r="E43" s="10"/>
      <c r="F43" s="11" t="s">
        <v>279</v>
      </c>
      <c r="G43" s="12">
        <v>342</v>
      </c>
      <c r="H43" s="13" t="s">
        <v>372</v>
      </c>
      <c r="I43" s="14">
        <v>39814</v>
      </c>
      <c r="J43" s="14">
        <v>401769</v>
      </c>
      <c r="K43" s="15" t="s">
        <v>37</v>
      </c>
      <c r="L43" s="13" t="s">
        <v>38</v>
      </c>
      <c r="M43" s="16" t="s">
        <v>373</v>
      </c>
      <c r="N43" s="17">
        <v>4</v>
      </c>
      <c r="O43" s="17">
        <v>5</v>
      </c>
      <c r="P43" s="13" t="s">
        <v>40</v>
      </c>
      <c r="Q43" s="13" t="s">
        <v>42</v>
      </c>
      <c r="R43" s="13" t="s">
        <v>43</v>
      </c>
      <c r="S43" s="13" t="s">
        <v>40</v>
      </c>
      <c r="T43" s="13" t="s">
        <v>44</v>
      </c>
      <c r="U43" s="17">
        <v>3</v>
      </c>
      <c r="V43" s="17">
        <v>1</v>
      </c>
      <c r="W43" s="13"/>
      <c r="X43" s="27" t="s">
        <v>374</v>
      </c>
      <c r="Y43" s="13" t="s">
        <v>370</v>
      </c>
      <c r="Z43" s="13" t="s">
        <v>371</v>
      </c>
      <c r="AA43" s="13" t="s">
        <v>375</v>
      </c>
      <c r="AB43" s="18" t="s">
        <v>376</v>
      </c>
      <c r="AC43" s="13" t="s">
        <v>45</v>
      </c>
      <c r="AD43" s="17">
        <v>70.27</v>
      </c>
      <c r="AE43" s="17">
        <v>70.27</v>
      </c>
      <c r="AF43" s="20">
        <v>236</v>
      </c>
      <c r="AG43" s="22" t="b">
        <v>0</v>
      </c>
      <c r="AH43" s="23" t="str">
        <f t="shared" si="0"/>
        <v/>
      </c>
    </row>
    <row r="44" spans="1:34" ht="24" customHeight="1" x14ac:dyDescent="0.2">
      <c r="A44" s="8" t="s">
        <v>31</v>
      </c>
      <c r="B44" s="9" t="s">
        <v>377</v>
      </c>
      <c r="C44" s="10" t="s">
        <v>286</v>
      </c>
      <c r="D44" s="10" t="s">
        <v>378</v>
      </c>
      <c r="E44" s="10"/>
      <c r="F44" s="11" t="s">
        <v>279</v>
      </c>
      <c r="G44" s="12">
        <v>343</v>
      </c>
      <c r="H44" s="13" t="s">
        <v>379</v>
      </c>
      <c r="I44" s="14">
        <v>43709</v>
      </c>
      <c r="J44" s="14">
        <v>401769</v>
      </c>
      <c r="K44" s="15" t="s">
        <v>37</v>
      </c>
      <c r="L44" s="13" t="s">
        <v>38</v>
      </c>
      <c r="M44" s="16" t="s">
        <v>380</v>
      </c>
      <c r="N44" s="17">
        <v>4</v>
      </c>
      <c r="O44" s="17">
        <v>5</v>
      </c>
      <c r="P44" s="13" t="s">
        <v>40</v>
      </c>
      <c r="Q44" s="13" t="s">
        <v>381</v>
      </c>
      <c r="R44" s="13" t="s">
        <v>382</v>
      </c>
      <c r="S44" s="13" t="s">
        <v>383</v>
      </c>
      <c r="T44" s="13" t="s">
        <v>44</v>
      </c>
      <c r="U44" s="17">
        <v>1</v>
      </c>
      <c r="V44" s="17">
        <v>1</v>
      </c>
      <c r="W44" s="13" t="s">
        <v>384</v>
      </c>
      <c r="X44" s="27"/>
      <c r="Y44" s="13" t="s">
        <v>286</v>
      </c>
      <c r="Z44" s="13" t="s">
        <v>378</v>
      </c>
      <c r="AA44" s="13" t="s">
        <v>385</v>
      </c>
      <c r="AB44" s="18" t="s">
        <v>386</v>
      </c>
      <c r="AC44" s="13" t="s">
        <v>45</v>
      </c>
      <c r="AD44" s="17">
        <v>28.22</v>
      </c>
      <c r="AE44" s="17">
        <v>28.22</v>
      </c>
      <c r="AF44" s="20">
        <v>96</v>
      </c>
      <c r="AG44" s="22" t="b">
        <v>0</v>
      </c>
      <c r="AH44" s="23" t="str">
        <f t="shared" si="0"/>
        <v/>
      </c>
    </row>
    <row r="45" spans="1:34" ht="24" customHeight="1" x14ac:dyDescent="0.2">
      <c r="A45" s="8" t="s">
        <v>31</v>
      </c>
      <c r="B45" s="9" t="s">
        <v>387</v>
      </c>
      <c r="C45" s="10" t="s">
        <v>143</v>
      </c>
      <c r="D45" s="10" t="s">
        <v>388</v>
      </c>
      <c r="E45" s="10"/>
      <c r="F45" s="11" t="s">
        <v>389</v>
      </c>
      <c r="G45" s="12">
        <v>401</v>
      </c>
      <c r="H45" s="13" t="s">
        <v>390</v>
      </c>
      <c r="I45" s="14">
        <v>39814</v>
      </c>
      <c r="J45" s="14">
        <v>401769</v>
      </c>
      <c r="K45" s="15" t="s">
        <v>37</v>
      </c>
      <c r="L45" s="13" t="s">
        <v>38</v>
      </c>
      <c r="M45" s="16" t="s">
        <v>391</v>
      </c>
      <c r="N45" s="17">
        <v>0</v>
      </c>
      <c r="O45" s="17">
        <v>1</v>
      </c>
      <c r="P45" s="13" t="s">
        <v>40</v>
      </c>
      <c r="Q45" s="13" t="s">
        <v>42</v>
      </c>
      <c r="R45" s="13" t="s">
        <v>43</v>
      </c>
      <c r="S45" s="13" t="s">
        <v>40</v>
      </c>
      <c r="T45" s="13" t="s">
        <v>44</v>
      </c>
      <c r="U45" s="17">
        <v>3</v>
      </c>
      <c r="V45" s="17">
        <v>1</v>
      </c>
      <c r="W45" s="13"/>
      <c r="X45" s="27" t="s">
        <v>392</v>
      </c>
      <c r="Y45" s="13" t="s">
        <v>143</v>
      </c>
      <c r="Z45" s="13" t="s">
        <v>388</v>
      </c>
      <c r="AA45" s="13" t="s">
        <v>393</v>
      </c>
      <c r="AB45" s="18" t="s">
        <v>394</v>
      </c>
      <c r="AC45" s="13" t="s">
        <v>45</v>
      </c>
      <c r="AD45" s="17">
        <v>67.47</v>
      </c>
      <c r="AE45" s="17">
        <v>67.47</v>
      </c>
      <c r="AF45" s="20">
        <v>226</v>
      </c>
      <c r="AG45" s="22" t="b">
        <v>0</v>
      </c>
      <c r="AH45" s="23" t="str">
        <f t="shared" si="0"/>
        <v/>
      </c>
    </row>
    <row r="46" spans="1:34" ht="24" customHeight="1" x14ac:dyDescent="0.2">
      <c r="A46" s="8" t="s">
        <v>31</v>
      </c>
      <c r="B46" s="9" t="s">
        <v>395</v>
      </c>
      <c r="C46" s="10" t="s">
        <v>286</v>
      </c>
      <c r="D46" s="10" t="s">
        <v>278</v>
      </c>
      <c r="E46" s="10"/>
      <c r="F46" s="11" t="s">
        <v>389</v>
      </c>
      <c r="G46" s="12">
        <v>402</v>
      </c>
      <c r="H46" s="13" t="s">
        <v>396</v>
      </c>
      <c r="I46" s="14">
        <v>44682</v>
      </c>
      <c r="J46" s="14">
        <v>401769</v>
      </c>
      <c r="K46" s="15" t="s">
        <v>37</v>
      </c>
      <c r="L46" s="13" t="s">
        <v>38</v>
      </c>
      <c r="M46" s="16" t="s">
        <v>397</v>
      </c>
      <c r="N46" s="17">
        <v>0</v>
      </c>
      <c r="O46" s="17">
        <v>1</v>
      </c>
      <c r="P46" s="13" t="s">
        <v>40</v>
      </c>
      <c r="Q46" s="13" t="s">
        <v>398</v>
      </c>
      <c r="R46" s="13" t="s">
        <v>399</v>
      </c>
      <c r="S46" s="13" t="s">
        <v>400</v>
      </c>
      <c r="T46" s="13" t="s">
        <v>44</v>
      </c>
      <c r="U46" s="17">
        <v>1</v>
      </c>
      <c r="V46" s="17">
        <v>1</v>
      </c>
      <c r="W46" s="13"/>
      <c r="X46" s="27"/>
      <c r="Y46" s="13" t="s">
        <v>286</v>
      </c>
      <c r="Z46" s="13" t="s">
        <v>278</v>
      </c>
      <c r="AA46" s="13" t="s">
        <v>401</v>
      </c>
      <c r="AB46" s="18" t="s">
        <v>402</v>
      </c>
      <c r="AC46" s="13" t="s">
        <v>45</v>
      </c>
      <c r="AD46" s="17">
        <v>26.82</v>
      </c>
      <c r="AE46" s="17">
        <v>26.82</v>
      </c>
      <c r="AF46" s="20">
        <v>90</v>
      </c>
      <c r="AG46" s="22" t="b">
        <v>0</v>
      </c>
      <c r="AH46" s="23" t="str">
        <f t="shared" si="0"/>
        <v/>
      </c>
    </row>
    <row r="47" spans="1:34" ht="24" customHeight="1" x14ac:dyDescent="0.2">
      <c r="A47" s="8" t="s">
        <v>31</v>
      </c>
      <c r="B47" s="9" t="s">
        <v>403</v>
      </c>
      <c r="C47" s="10" t="s">
        <v>404</v>
      </c>
      <c r="D47" s="10" t="s">
        <v>405</v>
      </c>
      <c r="E47" s="10"/>
      <c r="F47" s="11" t="s">
        <v>389</v>
      </c>
      <c r="G47" s="12">
        <v>411</v>
      </c>
      <c r="H47" s="13" t="s">
        <v>406</v>
      </c>
      <c r="I47" s="14">
        <v>40725</v>
      </c>
      <c r="J47" s="14">
        <v>401769</v>
      </c>
      <c r="K47" s="15" t="s">
        <v>37</v>
      </c>
      <c r="L47" s="13" t="s">
        <v>38</v>
      </c>
      <c r="M47" s="16" t="s">
        <v>407</v>
      </c>
      <c r="N47" s="17">
        <v>1</v>
      </c>
      <c r="O47" s="17">
        <v>2</v>
      </c>
      <c r="P47" s="13" t="s">
        <v>40</v>
      </c>
      <c r="Q47" s="13" t="s">
        <v>42</v>
      </c>
      <c r="R47" s="13" t="s">
        <v>43</v>
      </c>
      <c r="S47" s="13" t="s">
        <v>40</v>
      </c>
      <c r="T47" s="13" t="s">
        <v>44</v>
      </c>
      <c r="U47" s="17">
        <v>1</v>
      </c>
      <c r="V47" s="17">
        <v>1</v>
      </c>
      <c r="W47" s="13"/>
      <c r="X47" s="27" t="s">
        <v>408</v>
      </c>
      <c r="Y47" s="13" t="s">
        <v>404</v>
      </c>
      <c r="Z47" s="13" t="s">
        <v>405</v>
      </c>
      <c r="AA47" s="13" t="s">
        <v>630</v>
      </c>
      <c r="AB47" s="18" t="s">
        <v>409</v>
      </c>
      <c r="AC47" s="13" t="s">
        <v>45</v>
      </c>
      <c r="AD47" s="17">
        <v>28.22</v>
      </c>
      <c r="AE47" s="17">
        <v>28.22</v>
      </c>
      <c r="AF47" s="20">
        <v>96</v>
      </c>
      <c r="AG47" s="22" t="b">
        <v>0</v>
      </c>
      <c r="AH47" s="23" t="str">
        <f t="shared" si="0"/>
        <v/>
      </c>
    </row>
    <row r="48" spans="1:34" ht="24" customHeight="1" x14ac:dyDescent="0.2">
      <c r="A48" s="8" t="s">
        <v>31</v>
      </c>
      <c r="B48" s="9" t="s">
        <v>410</v>
      </c>
      <c r="C48" s="10" t="s">
        <v>411</v>
      </c>
      <c r="D48" s="10" t="s">
        <v>412</v>
      </c>
      <c r="E48" s="10"/>
      <c r="F48" s="11" t="s">
        <v>389</v>
      </c>
      <c r="G48" s="12">
        <v>412</v>
      </c>
      <c r="H48" s="13" t="s">
        <v>413</v>
      </c>
      <c r="I48" s="14">
        <v>39814</v>
      </c>
      <c r="J48" s="14">
        <v>401769</v>
      </c>
      <c r="K48" s="15" t="s">
        <v>37</v>
      </c>
      <c r="L48" s="13" t="s">
        <v>38</v>
      </c>
      <c r="M48" s="16" t="s">
        <v>414</v>
      </c>
      <c r="N48" s="17">
        <v>1</v>
      </c>
      <c r="O48" s="17">
        <v>2</v>
      </c>
      <c r="P48" s="13" t="s">
        <v>40</v>
      </c>
      <c r="Q48" s="13" t="s">
        <v>42</v>
      </c>
      <c r="R48" s="13" t="s">
        <v>43</v>
      </c>
      <c r="S48" s="13" t="s">
        <v>40</v>
      </c>
      <c r="T48" s="13" t="s">
        <v>44</v>
      </c>
      <c r="U48" s="17">
        <v>4</v>
      </c>
      <c r="V48" s="17">
        <v>1</v>
      </c>
      <c r="W48" s="13"/>
      <c r="X48" s="27" t="s">
        <v>415</v>
      </c>
      <c r="Y48" s="13" t="s">
        <v>411</v>
      </c>
      <c r="Z48" s="13" t="s">
        <v>412</v>
      </c>
      <c r="AA48" s="13" t="s">
        <v>416</v>
      </c>
      <c r="AB48" s="18" t="s">
        <v>417</v>
      </c>
      <c r="AC48" s="13" t="s">
        <v>45</v>
      </c>
      <c r="AD48" s="17">
        <v>70.27</v>
      </c>
      <c r="AE48" s="17">
        <v>70.27</v>
      </c>
      <c r="AF48" s="20">
        <v>236</v>
      </c>
      <c r="AG48" s="22" t="b">
        <v>0</v>
      </c>
      <c r="AH48" s="23" t="str">
        <f t="shared" si="0"/>
        <v/>
      </c>
    </row>
    <row r="49" spans="1:34" ht="24" customHeight="1" x14ac:dyDescent="0.2">
      <c r="A49" s="8"/>
      <c r="B49" s="9" t="s">
        <v>418</v>
      </c>
      <c r="C49" s="10" t="s">
        <v>419</v>
      </c>
      <c r="D49" s="10" t="s">
        <v>420</v>
      </c>
      <c r="E49" s="10"/>
      <c r="F49" s="11" t="s">
        <v>389</v>
      </c>
      <c r="G49" s="12">
        <v>413</v>
      </c>
      <c r="H49" s="13" t="s">
        <v>421</v>
      </c>
      <c r="I49" s="14">
        <v>45962</v>
      </c>
      <c r="J49" s="14">
        <v>401769</v>
      </c>
      <c r="K49" s="15" t="s">
        <v>37</v>
      </c>
      <c r="L49" s="13" t="s">
        <v>38</v>
      </c>
      <c r="M49" s="16" t="s">
        <v>422</v>
      </c>
      <c r="N49" s="17">
        <v>1</v>
      </c>
      <c r="O49" s="17">
        <v>2</v>
      </c>
      <c r="P49" s="13" t="s">
        <v>40</v>
      </c>
      <c r="Q49" s="13" t="s">
        <v>423</v>
      </c>
      <c r="R49" s="13" t="s">
        <v>424</v>
      </c>
      <c r="S49" s="13" t="s">
        <v>425</v>
      </c>
      <c r="T49" s="13" t="s">
        <v>426</v>
      </c>
      <c r="U49" s="17">
        <v>2</v>
      </c>
      <c r="V49" s="17">
        <v>1</v>
      </c>
      <c r="W49" s="13"/>
      <c r="X49" s="27"/>
      <c r="Y49" s="13" t="s">
        <v>419</v>
      </c>
      <c r="Z49" s="13" t="s">
        <v>420</v>
      </c>
      <c r="AA49" s="13"/>
      <c r="AB49" s="18"/>
      <c r="AC49" s="13" t="s">
        <v>45</v>
      </c>
      <c r="AD49" s="17">
        <v>28.22</v>
      </c>
      <c r="AE49" s="17">
        <v>28.22</v>
      </c>
      <c r="AF49" s="20">
        <v>96</v>
      </c>
      <c r="AG49" s="22" t="b">
        <v>0</v>
      </c>
      <c r="AH49" s="23" t="str">
        <f t="shared" si="0"/>
        <v/>
      </c>
    </row>
    <row r="50" spans="1:34" ht="24" customHeight="1" x14ac:dyDescent="0.2">
      <c r="A50" s="8" t="s">
        <v>31</v>
      </c>
      <c r="B50" s="9" t="s">
        <v>427</v>
      </c>
      <c r="C50" s="10" t="s">
        <v>428</v>
      </c>
      <c r="D50" s="10" t="s">
        <v>429</v>
      </c>
      <c r="E50" s="10"/>
      <c r="F50" s="11" t="s">
        <v>389</v>
      </c>
      <c r="G50" s="12">
        <v>421</v>
      </c>
      <c r="H50" s="13" t="s">
        <v>430</v>
      </c>
      <c r="I50" s="14">
        <v>41244</v>
      </c>
      <c r="J50" s="14">
        <v>401769</v>
      </c>
      <c r="K50" s="15" t="s">
        <v>37</v>
      </c>
      <c r="L50" s="13" t="s">
        <v>38</v>
      </c>
      <c r="M50" s="16" t="s">
        <v>431</v>
      </c>
      <c r="N50" s="17">
        <v>2</v>
      </c>
      <c r="O50" s="17">
        <v>3</v>
      </c>
      <c r="P50" s="13" t="s">
        <v>40</v>
      </c>
      <c r="Q50" s="13" t="s">
        <v>42</v>
      </c>
      <c r="R50" s="13" t="s">
        <v>43</v>
      </c>
      <c r="S50" s="13" t="s">
        <v>40</v>
      </c>
      <c r="T50" s="13" t="s">
        <v>44</v>
      </c>
      <c r="U50" s="17">
        <v>1</v>
      </c>
      <c r="V50" s="17">
        <v>1</v>
      </c>
      <c r="W50" s="13"/>
      <c r="X50" s="27" t="s">
        <v>432</v>
      </c>
      <c r="Y50" s="13" t="s">
        <v>428</v>
      </c>
      <c r="Z50" s="13" t="s">
        <v>429</v>
      </c>
      <c r="AA50" s="13" t="s">
        <v>433</v>
      </c>
      <c r="AB50" s="18" t="s">
        <v>434</v>
      </c>
      <c r="AC50" s="13" t="s">
        <v>45</v>
      </c>
      <c r="AD50" s="17">
        <v>28.22</v>
      </c>
      <c r="AE50" s="17">
        <v>28.22</v>
      </c>
      <c r="AF50" s="20">
        <v>96</v>
      </c>
      <c r="AG50" s="22" t="b">
        <v>0</v>
      </c>
      <c r="AH50" s="23" t="str">
        <f t="shared" si="0"/>
        <v/>
      </c>
    </row>
    <row r="51" spans="1:34" ht="24" customHeight="1" x14ac:dyDescent="0.2">
      <c r="A51" s="8" t="s">
        <v>31</v>
      </c>
      <c r="B51" s="9" t="s">
        <v>435</v>
      </c>
      <c r="C51" s="10" t="s">
        <v>436</v>
      </c>
      <c r="D51" s="10" t="s">
        <v>437</v>
      </c>
      <c r="E51" s="10"/>
      <c r="F51" s="11" t="s">
        <v>389</v>
      </c>
      <c r="G51" s="12">
        <v>422</v>
      </c>
      <c r="H51" s="13" t="s">
        <v>438</v>
      </c>
      <c r="I51" s="14">
        <v>44121</v>
      </c>
      <c r="J51" s="14">
        <v>401769</v>
      </c>
      <c r="K51" s="15" t="s">
        <v>37</v>
      </c>
      <c r="L51" s="13" t="s">
        <v>38</v>
      </c>
      <c r="M51" s="16" t="s">
        <v>439</v>
      </c>
      <c r="N51" s="17">
        <v>2</v>
      </c>
      <c r="O51" s="17">
        <v>3</v>
      </c>
      <c r="P51" s="13" t="s">
        <v>40</v>
      </c>
      <c r="Q51" s="13" t="s">
        <v>42</v>
      </c>
      <c r="R51" s="13" t="s">
        <v>43</v>
      </c>
      <c r="S51" s="13" t="s">
        <v>40</v>
      </c>
      <c r="T51" s="13" t="s">
        <v>44</v>
      </c>
      <c r="U51" s="17">
        <v>1</v>
      </c>
      <c r="V51" s="17">
        <v>1</v>
      </c>
      <c r="W51" s="13"/>
      <c r="X51" s="27" t="s">
        <v>440</v>
      </c>
      <c r="Y51" s="13" t="s">
        <v>436</v>
      </c>
      <c r="Z51" s="13" t="s">
        <v>437</v>
      </c>
      <c r="AA51" s="13" t="s">
        <v>631</v>
      </c>
      <c r="AB51" s="18" t="s">
        <v>441</v>
      </c>
      <c r="AC51" s="13" t="s">
        <v>45</v>
      </c>
      <c r="AD51" s="17">
        <v>70.27</v>
      </c>
      <c r="AE51" s="17">
        <v>70.27</v>
      </c>
      <c r="AF51" s="20">
        <v>236</v>
      </c>
      <c r="AG51" s="22" t="b">
        <v>0</v>
      </c>
      <c r="AH51" s="23" t="str">
        <f t="shared" si="0"/>
        <v/>
      </c>
    </row>
    <row r="52" spans="1:34" ht="24" customHeight="1" x14ac:dyDescent="0.2">
      <c r="A52" s="8" t="s">
        <v>31</v>
      </c>
      <c r="B52" s="9" t="s">
        <v>442</v>
      </c>
      <c r="C52" s="10" t="s">
        <v>443</v>
      </c>
      <c r="D52" s="10" t="s">
        <v>444</v>
      </c>
      <c r="E52" s="10" t="s">
        <v>445</v>
      </c>
      <c r="F52" s="11" t="s">
        <v>389</v>
      </c>
      <c r="G52" s="12">
        <v>423</v>
      </c>
      <c r="H52" s="13" t="s">
        <v>446</v>
      </c>
      <c r="I52" s="14">
        <v>39934</v>
      </c>
      <c r="J52" s="14">
        <v>401769</v>
      </c>
      <c r="K52" s="15" t="s">
        <v>37</v>
      </c>
      <c r="L52" s="13" t="s">
        <v>38</v>
      </c>
      <c r="M52" s="16" t="s">
        <v>447</v>
      </c>
      <c r="N52" s="17">
        <v>2</v>
      </c>
      <c r="O52" s="17">
        <v>3</v>
      </c>
      <c r="P52" s="13" t="s">
        <v>40</v>
      </c>
      <c r="Q52" s="13" t="s">
        <v>42</v>
      </c>
      <c r="R52" s="13" t="s">
        <v>43</v>
      </c>
      <c r="S52" s="13" t="s">
        <v>40</v>
      </c>
      <c r="T52" s="13" t="s">
        <v>44</v>
      </c>
      <c r="U52" s="17">
        <v>1</v>
      </c>
      <c r="V52" s="17">
        <v>1</v>
      </c>
      <c r="W52" s="13"/>
      <c r="X52" s="27" t="s">
        <v>448</v>
      </c>
      <c r="Y52" s="13" t="s">
        <v>443</v>
      </c>
      <c r="Z52" s="13" t="s">
        <v>444</v>
      </c>
      <c r="AA52" s="13" t="s">
        <v>449</v>
      </c>
      <c r="AB52" s="18" t="s">
        <v>450</v>
      </c>
      <c r="AC52" s="13" t="s">
        <v>45</v>
      </c>
      <c r="AD52" s="17">
        <v>28.22</v>
      </c>
      <c r="AE52" s="17">
        <v>28.22</v>
      </c>
      <c r="AF52" s="20">
        <v>96</v>
      </c>
      <c r="AG52" s="22" t="b">
        <v>0</v>
      </c>
      <c r="AH52" s="23" t="str">
        <f t="shared" si="0"/>
        <v/>
      </c>
    </row>
    <row r="53" spans="1:34" ht="24" customHeight="1" x14ac:dyDescent="0.2">
      <c r="A53" s="8" t="s">
        <v>31</v>
      </c>
      <c r="B53" s="9" t="s">
        <v>451</v>
      </c>
      <c r="C53" s="10" t="s">
        <v>452</v>
      </c>
      <c r="D53" s="10" t="s">
        <v>130</v>
      </c>
      <c r="E53" s="10"/>
      <c r="F53" s="11" t="s">
        <v>389</v>
      </c>
      <c r="G53" s="12">
        <v>431</v>
      </c>
      <c r="H53" s="13" t="s">
        <v>453</v>
      </c>
      <c r="I53" s="14">
        <v>42036</v>
      </c>
      <c r="J53" s="14">
        <v>401769</v>
      </c>
      <c r="K53" s="15" t="s">
        <v>37</v>
      </c>
      <c r="L53" s="13" t="s">
        <v>38</v>
      </c>
      <c r="M53" s="16" t="s">
        <v>454</v>
      </c>
      <c r="N53" s="17">
        <v>3</v>
      </c>
      <c r="O53" s="17">
        <v>4</v>
      </c>
      <c r="P53" s="13" t="s">
        <v>40</v>
      </c>
      <c r="Q53" s="13" t="s">
        <v>455</v>
      </c>
      <c r="R53" s="13" t="s">
        <v>456</v>
      </c>
      <c r="S53" s="13" t="s">
        <v>457</v>
      </c>
      <c r="T53" s="13" t="s">
        <v>44</v>
      </c>
      <c r="U53" s="17">
        <v>1</v>
      </c>
      <c r="V53" s="17">
        <v>1</v>
      </c>
      <c r="W53" s="13"/>
      <c r="X53" s="27" t="s">
        <v>458</v>
      </c>
      <c r="Y53" s="13" t="s">
        <v>452</v>
      </c>
      <c r="Z53" s="13" t="s">
        <v>130</v>
      </c>
      <c r="AA53" s="13" t="s">
        <v>459</v>
      </c>
      <c r="AB53" s="18" t="s">
        <v>460</v>
      </c>
      <c r="AC53" s="13" t="s">
        <v>45</v>
      </c>
      <c r="AD53" s="17">
        <v>28.22</v>
      </c>
      <c r="AE53" s="17">
        <v>28.22</v>
      </c>
      <c r="AF53" s="20">
        <v>96</v>
      </c>
      <c r="AG53" s="22" t="b">
        <v>0</v>
      </c>
      <c r="AH53" s="23" t="str">
        <f t="shared" si="0"/>
        <v/>
      </c>
    </row>
    <row r="54" spans="1:34" ht="24" customHeight="1" x14ac:dyDescent="0.2">
      <c r="A54" s="8" t="s">
        <v>31</v>
      </c>
      <c r="B54" s="9" t="s">
        <v>461</v>
      </c>
      <c r="C54" s="10" t="s">
        <v>462</v>
      </c>
      <c r="D54" s="10" t="s">
        <v>463</v>
      </c>
      <c r="E54" s="10" t="s">
        <v>464</v>
      </c>
      <c r="F54" s="11" t="s">
        <v>389</v>
      </c>
      <c r="G54" s="12">
        <v>432</v>
      </c>
      <c r="H54" s="13" t="s">
        <v>465</v>
      </c>
      <c r="I54" s="14">
        <v>45627</v>
      </c>
      <c r="J54" s="14">
        <v>401769</v>
      </c>
      <c r="K54" s="15" t="s">
        <v>37</v>
      </c>
      <c r="L54" s="13" t="s">
        <v>38</v>
      </c>
      <c r="M54" s="16" t="s">
        <v>466</v>
      </c>
      <c r="N54" s="17">
        <v>3</v>
      </c>
      <c r="O54" s="17">
        <v>4</v>
      </c>
      <c r="P54" s="13" t="s">
        <v>40</v>
      </c>
      <c r="Q54" s="13" t="s">
        <v>467</v>
      </c>
      <c r="R54" s="13" t="s">
        <v>468</v>
      </c>
      <c r="S54" s="13" t="s">
        <v>469</v>
      </c>
      <c r="T54" s="13" t="s">
        <v>44</v>
      </c>
      <c r="U54" s="17">
        <v>1</v>
      </c>
      <c r="V54" s="17">
        <v>1</v>
      </c>
      <c r="W54" s="13"/>
      <c r="X54" s="27" t="s">
        <v>470</v>
      </c>
      <c r="Y54" s="13" t="s">
        <v>462</v>
      </c>
      <c r="Z54" s="13" t="s">
        <v>463</v>
      </c>
      <c r="AA54" s="13"/>
      <c r="AB54" s="18"/>
      <c r="AC54" s="13" t="s">
        <v>45</v>
      </c>
      <c r="AD54" s="17">
        <v>70.27</v>
      </c>
      <c r="AE54" s="17">
        <v>70.27</v>
      </c>
      <c r="AF54" s="20">
        <v>236</v>
      </c>
      <c r="AG54" s="22" t="b">
        <v>0</v>
      </c>
      <c r="AH54" s="23" t="str">
        <f t="shared" si="0"/>
        <v/>
      </c>
    </row>
    <row r="55" spans="1:34" ht="24" customHeight="1" x14ac:dyDescent="0.2">
      <c r="A55" s="8" t="s">
        <v>31</v>
      </c>
      <c r="B55" s="9" t="s">
        <v>471</v>
      </c>
      <c r="C55" s="10" t="s">
        <v>286</v>
      </c>
      <c r="D55" s="10" t="s">
        <v>472</v>
      </c>
      <c r="E55" s="10"/>
      <c r="F55" s="11" t="s">
        <v>389</v>
      </c>
      <c r="G55" s="12">
        <v>433</v>
      </c>
      <c r="H55" s="13"/>
      <c r="I55" s="14">
        <v>39814</v>
      </c>
      <c r="J55" s="14">
        <v>401769</v>
      </c>
      <c r="K55" s="15" t="s">
        <v>37</v>
      </c>
      <c r="L55" s="13" t="s">
        <v>38</v>
      </c>
      <c r="M55" s="16" t="s">
        <v>473</v>
      </c>
      <c r="N55" s="17">
        <v>3</v>
      </c>
      <c r="O55" s="17">
        <v>4</v>
      </c>
      <c r="P55" s="13" t="s">
        <v>40</v>
      </c>
      <c r="Q55" s="13" t="s">
        <v>42</v>
      </c>
      <c r="R55" s="13" t="s">
        <v>43</v>
      </c>
      <c r="S55" s="13" t="s">
        <v>40</v>
      </c>
      <c r="T55" s="13" t="s">
        <v>44</v>
      </c>
      <c r="U55" s="17">
        <v>1</v>
      </c>
      <c r="V55" s="17">
        <v>1</v>
      </c>
      <c r="W55" s="13"/>
      <c r="X55" s="27" t="s">
        <v>474</v>
      </c>
      <c r="Y55" s="13" t="s">
        <v>286</v>
      </c>
      <c r="Z55" s="13" t="s">
        <v>472</v>
      </c>
      <c r="AA55" s="13" t="s">
        <v>475</v>
      </c>
      <c r="AB55" s="18" t="s">
        <v>476</v>
      </c>
      <c r="AC55" s="13" t="s">
        <v>45</v>
      </c>
      <c r="AD55" s="17">
        <v>28.22</v>
      </c>
      <c r="AE55" s="17">
        <v>28.22</v>
      </c>
      <c r="AF55" s="20">
        <v>96</v>
      </c>
      <c r="AG55" s="22" t="b">
        <v>1</v>
      </c>
      <c r="AH55" s="23">
        <f t="shared" si="0"/>
        <v>96</v>
      </c>
    </row>
    <row r="56" spans="1:34" ht="24" customHeight="1" x14ac:dyDescent="0.2">
      <c r="A56" s="8" t="s">
        <v>31</v>
      </c>
      <c r="B56" s="9" t="s">
        <v>477</v>
      </c>
      <c r="C56" s="10" t="s">
        <v>478</v>
      </c>
      <c r="D56" s="10" t="s">
        <v>479</v>
      </c>
      <c r="E56" s="10"/>
      <c r="F56" s="11" t="s">
        <v>389</v>
      </c>
      <c r="G56" s="12">
        <v>441</v>
      </c>
      <c r="H56" s="13" t="s">
        <v>480</v>
      </c>
      <c r="I56" s="14">
        <v>44197</v>
      </c>
      <c r="J56" s="14">
        <v>401769</v>
      </c>
      <c r="K56" s="15" t="s">
        <v>37</v>
      </c>
      <c r="L56" s="13" t="s">
        <v>38</v>
      </c>
      <c r="M56" s="16" t="s">
        <v>481</v>
      </c>
      <c r="N56" s="17">
        <v>4</v>
      </c>
      <c r="O56" s="17">
        <v>5</v>
      </c>
      <c r="P56" s="13" t="s">
        <v>40</v>
      </c>
      <c r="Q56" s="13" t="s">
        <v>482</v>
      </c>
      <c r="R56" s="13" t="s">
        <v>483</v>
      </c>
      <c r="S56" s="13" t="s">
        <v>484</v>
      </c>
      <c r="T56" s="13" t="s">
        <v>44</v>
      </c>
      <c r="U56" s="17">
        <v>3</v>
      </c>
      <c r="V56" s="17">
        <v>1</v>
      </c>
      <c r="W56" s="13"/>
      <c r="X56" s="27" t="s">
        <v>485</v>
      </c>
      <c r="Y56" s="13" t="s">
        <v>478</v>
      </c>
      <c r="Z56" s="13" t="s">
        <v>479</v>
      </c>
      <c r="AA56" s="13" t="s">
        <v>486</v>
      </c>
      <c r="AB56" s="18" t="s">
        <v>487</v>
      </c>
      <c r="AC56" s="13" t="s">
        <v>45</v>
      </c>
      <c r="AD56" s="17">
        <v>28.22</v>
      </c>
      <c r="AE56" s="17">
        <v>28.22</v>
      </c>
      <c r="AF56" s="20">
        <v>96</v>
      </c>
      <c r="AG56" s="22" t="b">
        <v>0</v>
      </c>
      <c r="AH56" s="23" t="str">
        <f t="shared" si="0"/>
        <v/>
      </c>
    </row>
    <row r="57" spans="1:34" ht="24" customHeight="1" x14ac:dyDescent="0.2">
      <c r="A57" s="8" t="s">
        <v>31</v>
      </c>
      <c r="B57" s="9" t="s">
        <v>488</v>
      </c>
      <c r="C57" s="10" t="s">
        <v>489</v>
      </c>
      <c r="D57" s="10" t="s">
        <v>490</v>
      </c>
      <c r="E57" s="10"/>
      <c r="F57" s="11" t="s">
        <v>389</v>
      </c>
      <c r="G57" s="12">
        <v>442</v>
      </c>
      <c r="H57" s="13" t="s">
        <v>622</v>
      </c>
      <c r="I57" s="14">
        <v>39814</v>
      </c>
      <c r="J57" s="14">
        <v>401769</v>
      </c>
      <c r="K57" s="15" t="s">
        <v>37</v>
      </c>
      <c r="L57" s="13" t="s">
        <v>38</v>
      </c>
      <c r="M57" s="16" t="s">
        <v>491</v>
      </c>
      <c r="N57" s="17">
        <v>4</v>
      </c>
      <c r="O57" s="17">
        <v>5</v>
      </c>
      <c r="P57" s="13" t="s">
        <v>40</v>
      </c>
      <c r="Q57" s="13" t="s">
        <v>42</v>
      </c>
      <c r="R57" s="13" t="s">
        <v>43</v>
      </c>
      <c r="S57" s="13" t="s">
        <v>40</v>
      </c>
      <c r="T57" s="13" t="s">
        <v>44</v>
      </c>
      <c r="U57" s="17">
        <v>4</v>
      </c>
      <c r="V57" s="17">
        <v>1</v>
      </c>
      <c r="W57" s="13" t="s">
        <v>492</v>
      </c>
      <c r="X57" s="27" t="s">
        <v>493</v>
      </c>
      <c r="Y57" s="13" t="s">
        <v>489</v>
      </c>
      <c r="Z57" s="13" t="s">
        <v>490</v>
      </c>
      <c r="AA57" s="13" t="s">
        <v>494</v>
      </c>
      <c r="AB57" s="18" t="s">
        <v>495</v>
      </c>
      <c r="AC57" s="13" t="s">
        <v>45</v>
      </c>
      <c r="AD57" s="17">
        <v>70.27</v>
      </c>
      <c r="AE57" s="17">
        <v>70.27</v>
      </c>
      <c r="AF57" s="20">
        <v>236</v>
      </c>
      <c r="AG57" s="22" t="b">
        <v>0</v>
      </c>
      <c r="AH57" s="23" t="str">
        <f t="shared" si="0"/>
        <v/>
      </c>
    </row>
    <row r="58" spans="1:34" ht="24" customHeight="1" x14ac:dyDescent="0.2">
      <c r="A58" s="8" t="s">
        <v>31</v>
      </c>
      <c r="B58" s="9" t="s">
        <v>496</v>
      </c>
      <c r="C58" s="10" t="s">
        <v>497</v>
      </c>
      <c r="D58" s="10" t="s">
        <v>498</v>
      </c>
      <c r="E58" s="10"/>
      <c r="F58" s="11" t="s">
        <v>389</v>
      </c>
      <c r="G58" s="12">
        <v>443</v>
      </c>
      <c r="H58" s="13"/>
      <c r="I58" s="14">
        <v>39814</v>
      </c>
      <c r="J58" s="14">
        <v>401769</v>
      </c>
      <c r="K58" s="15" t="s">
        <v>37</v>
      </c>
      <c r="L58" s="13" t="s">
        <v>38</v>
      </c>
      <c r="M58" s="16" t="s">
        <v>499</v>
      </c>
      <c r="N58" s="17">
        <v>4</v>
      </c>
      <c r="O58" s="17">
        <v>5</v>
      </c>
      <c r="P58" s="13" t="s">
        <v>40</v>
      </c>
      <c r="Q58" s="13" t="s">
        <v>42</v>
      </c>
      <c r="R58" s="13" t="s">
        <v>43</v>
      </c>
      <c r="S58" s="13" t="s">
        <v>40</v>
      </c>
      <c r="T58" s="13" t="s">
        <v>44</v>
      </c>
      <c r="U58" s="17">
        <v>1</v>
      </c>
      <c r="V58" s="17">
        <v>1</v>
      </c>
      <c r="W58" s="13"/>
      <c r="X58" s="27" t="s">
        <v>500</v>
      </c>
      <c r="Y58" s="13" t="s">
        <v>497</v>
      </c>
      <c r="Z58" s="13" t="s">
        <v>498</v>
      </c>
      <c r="AA58" s="13" t="s">
        <v>501</v>
      </c>
      <c r="AB58" s="18" t="s">
        <v>502</v>
      </c>
      <c r="AC58" s="13" t="s">
        <v>45</v>
      </c>
      <c r="AD58" s="17">
        <v>28.22</v>
      </c>
      <c r="AE58" s="17">
        <v>28.22</v>
      </c>
      <c r="AF58" s="20">
        <v>96</v>
      </c>
      <c r="AG58" s="22" t="b">
        <v>1</v>
      </c>
      <c r="AH58" s="23">
        <f t="shared" si="0"/>
        <v>96</v>
      </c>
    </row>
    <row r="59" spans="1:34" ht="24" customHeight="1" x14ac:dyDescent="0.2">
      <c r="A59" s="8" t="s">
        <v>31</v>
      </c>
      <c r="B59" s="9" t="s">
        <v>503</v>
      </c>
      <c r="C59" s="10" t="s">
        <v>504</v>
      </c>
      <c r="D59" s="10" t="s">
        <v>505</v>
      </c>
      <c r="E59" s="10" t="s">
        <v>169</v>
      </c>
      <c r="F59" s="11" t="s">
        <v>506</v>
      </c>
      <c r="G59" s="12">
        <v>501</v>
      </c>
      <c r="H59" s="13" t="s">
        <v>507</v>
      </c>
      <c r="I59" s="14">
        <v>40634</v>
      </c>
      <c r="J59" s="14">
        <v>401769</v>
      </c>
      <c r="K59" s="15" t="s">
        <v>37</v>
      </c>
      <c r="L59" s="13" t="s">
        <v>38</v>
      </c>
      <c r="M59" s="16" t="s">
        <v>508</v>
      </c>
      <c r="N59" s="17">
        <v>0</v>
      </c>
      <c r="O59" s="17">
        <v>1</v>
      </c>
      <c r="P59" s="13" t="s">
        <v>40</v>
      </c>
      <c r="Q59" s="13" t="s">
        <v>42</v>
      </c>
      <c r="R59" s="13" t="s">
        <v>43</v>
      </c>
      <c r="S59" s="13" t="s">
        <v>40</v>
      </c>
      <c r="T59" s="13" t="s">
        <v>44</v>
      </c>
      <c r="U59" s="17">
        <v>1</v>
      </c>
      <c r="V59" s="17">
        <v>1</v>
      </c>
      <c r="W59" s="13"/>
      <c r="X59" s="27" t="s">
        <v>509</v>
      </c>
      <c r="Y59" s="13" t="s">
        <v>504</v>
      </c>
      <c r="Z59" s="13" t="s">
        <v>505</v>
      </c>
      <c r="AA59" s="13" t="s">
        <v>510</v>
      </c>
      <c r="AB59" s="18" t="s">
        <v>511</v>
      </c>
      <c r="AC59" s="13" t="s">
        <v>45</v>
      </c>
      <c r="AD59" s="17">
        <v>40.68</v>
      </c>
      <c r="AE59" s="17">
        <v>40.68</v>
      </c>
      <c r="AF59" s="20">
        <v>135</v>
      </c>
      <c r="AG59" s="22" t="b">
        <v>0</v>
      </c>
      <c r="AH59" s="23" t="str">
        <f t="shared" si="0"/>
        <v/>
      </c>
    </row>
    <row r="60" spans="1:34" ht="24" customHeight="1" x14ac:dyDescent="0.2">
      <c r="A60" s="8" t="s">
        <v>31</v>
      </c>
      <c r="B60" s="9" t="s">
        <v>512</v>
      </c>
      <c r="C60" s="10" t="s">
        <v>185</v>
      </c>
      <c r="D60" s="10" t="s">
        <v>513</v>
      </c>
      <c r="E60" s="10"/>
      <c r="F60" s="11" t="s">
        <v>506</v>
      </c>
      <c r="G60" s="12">
        <v>502</v>
      </c>
      <c r="H60" s="13" t="s">
        <v>514</v>
      </c>
      <c r="I60" s="14">
        <v>39814</v>
      </c>
      <c r="J60" s="14">
        <v>401769</v>
      </c>
      <c r="K60" s="15" t="s">
        <v>37</v>
      </c>
      <c r="L60" s="13" t="s">
        <v>38</v>
      </c>
      <c r="M60" s="16" t="s">
        <v>515</v>
      </c>
      <c r="N60" s="17">
        <v>0</v>
      </c>
      <c r="O60" s="17">
        <v>1</v>
      </c>
      <c r="P60" s="13" t="s">
        <v>40</v>
      </c>
      <c r="Q60" s="13" t="s">
        <v>42</v>
      </c>
      <c r="R60" s="13" t="s">
        <v>43</v>
      </c>
      <c r="S60" s="13" t="s">
        <v>40</v>
      </c>
      <c r="T60" s="13" t="s">
        <v>44</v>
      </c>
      <c r="U60" s="17">
        <v>4</v>
      </c>
      <c r="V60" s="17">
        <v>1</v>
      </c>
      <c r="W60" s="13"/>
      <c r="X60" s="27" t="s">
        <v>516</v>
      </c>
      <c r="Y60" s="13" t="s">
        <v>185</v>
      </c>
      <c r="Z60" s="13" t="s">
        <v>513</v>
      </c>
      <c r="AA60" s="13" t="s">
        <v>517</v>
      </c>
      <c r="AB60" s="18" t="s">
        <v>518</v>
      </c>
      <c r="AC60" s="13" t="s">
        <v>45</v>
      </c>
      <c r="AD60" s="17">
        <v>40.68</v>
      </c>
      <c r="AE60" s="17">
        <v>40.68</v>
      </c>
      <c r="AF60" s="20">
        <v>135</v>
      </c>
      <c r="AG60" s="22" t="b">
        <v>0</v>
      </c>
      <c r="AH60" s="23" t="str">
        <f t="shared" si="0"/>
        <v/>
      </c>
    </row>
    <row r="61" spans="1:34" ht="24" customHeight="1" x14ac:dyDescent="0.2">
      <c r="A61" s="8" t="s">
        <v>31</v>
      </c>
      <c r="B61" s="9" t="s">
        <v>519</v>
      </c>
      <c r="C61" s="10" t="s">
        <v>520</v>
      </c>
      <c r="D61" s="10" t="s">
        <v>521</v>
      </c>
      <c r="E61" s="10"/>
      <c r="F61" s="11" t="s">
        <v>506</v>
      </c>
      <c r="G61" s="12">
        <v>511</v>
      </c>
      <c r="H61" s="13" t="s">
        <v>522</v>
      </c>
      <c r="I61" s="14">
        <v>39814</v>
      </c>
      <c r="J61" s="14">
        <v>401769</v>
      </c>
      <c r="K61" s="15" t="s">
        <v>37</v>
      </c>
      <c r="L61" s="13" t="s">
        <v>38</v>
      </c>
      <c r="M61" s="16" t="s">
        <v>523</v>
      </c>
      <c r="N61" s="17">
        <v>1</v>
      </c>
      <c r="O61" s="17">
        <v>2</v>
      </c>
      <c r="P61" s="13" t="s">
        <v>40</v>
      </c>
      <c r="Q61" s="13" t="s">
        <v>42</v>
      </c>
      <c r="R61" s="13" t="s">
        <v>43</v>
      </c>
      <c r="S61" s="13" t="s">
        <v>40</v>
      </c>
      <c r="T61" s="13" t="s">
        <v>44</v>
      </c>
      <c r="U61" s="17">
        <v>1</v>
      </c>
      <c r="V61" s="17">
        <v>1</v>
      </c>
      <c r="W61" s="13"/>
      <c r="X61" s="27" t="s">
        <v>524</v>
      </c>
      <c r="Y61" s="13" t="s">
        <v>520</v>
      </c>
      <c r="Z61" s="13" t="s">
        <v>521</v>
      </c>
      <c r="AA61" s="13" t="s">
        <v>525</v>
      </c>
      <c r="AB61" s="18" t="s">
        <v>526</v>
      </c>
      <c r="AC61" s="13" t="s">
        <v>45</v>
      </c>
      <c r="AD61" s="17">
        <v>42.08</v>
      </c>
      <c r="AE61" s="17">
        <v>42.08</v>
      </c>
      <c r="AF61" s="20">
        <v>141</v>
      </c>
      <c r="AG61" s="22" t="b">
        <v>0</v>
      </c>
      <c r="AH61" s="23" t="str">
        <f t="shared" si="0"/>
        <v/>
      </c>
    </row>
    <row r="62" spans="1:34" ht="24" customHeight="1" x14ac:dyDescent="0.2">
      <c r="A62" s="8" t="s">
        <v>31</v>
      </c>
      <c r="B62" s="9" t="s">
        <v>527</v>
      </c>
      <c r="C62" s="10" t="s">
        <v>528</v>
      </c>
      <c r="D62" s="10" t="s">
        <v>529</v>
      </c>
      <c r="E62" s="10"/>
      <c r="F62" s="11" t="s">
        <v>506</v>
      </c>
      <c r="G62" s="12">
        <v>512</v>
      </c>
      <c r="H62" s="13" t="s">
        <v>530</v>
      </c>
      <c r="I62" s="14">
        <v>43040</v>
      </c>
      <c r="J62" s="14">
        <v>401769</v>
      </c>
      <c r="K62" s="15" t="s">
        <v>37</v>
      </c>
      <c r="L62" s="13" t="s">
        <v>38</v>
      </c>
      <c r="M62" s="16" t="s">
        <v>531</v>
      </c>
      <c r="N62" s="17">
        <v>1</v>
      </c>
      <c r="O62" s="17">
        <v>2</v>
      </c>
      <c r="P62" s="13" t="s">
        <v>40</v>
      </c>
      <c r="Q62" s="13" t="s">
        <v>42</v>
      </c>
      <c r="R62" s="13" t="s">
        <v>43</v>
      </c>
      <c r="S62" s="13" t="s">
        <v>40</v>
      </c>
      <c r="T62" s="13" t="s">
        <v>44</v>
      </c>
      <c r="U62" s="17">
        <v>1</v>
      </c>
      <c r="V62" s="17">
        <v>1</v>
      </c>
      <c r="W62" s="13"/>
      <c r="X62" s="27" t="s">
        <v>532</v>
      </c>
      <c r="Y62" s="13" t="s">
        <v>528</v>
      </c>
      <c r="Z62" s="13" t="s">
        <v>529</v>
      </c>
      <c r="AA62" s="13" t="s">
        <v>533</v>
      </c>
      <c r="AB62" s="18" t="s">
        <v>534</v>
      </c>
      <c r="AC62" s="13" t="s">
        <v>45</v>
      </c>
      <c r="AD62" s="17">
        <v>41.93</v>
      </c>
      <c r="AE62" s="17">
        <v>41.93</v>
      </c>
      <c r="AF62" s="20">
        <v>140</v>
      </c>
      <c r="AG62" s="22" t="b">
        <v>0</v>
      </c>
      <c r="AH62" s="23" t="str">
        <f t="shared" si="0"/>
        <v/>
      </c>
    </row>
    <row r="63" spans="1:34" ht="24" customHeight="1" x14ac:dyDescent="0.2">
      <c r="A63" s="8" t="s">
        <v>31</v>
      </c>
      <c r="B63" s="9" t="s">
        <v>535</v>
      </c>
      <c r="C63" s="10"/>
      <c r="D63" s="10" t="s">
        <v>536</v>
      </c>
      <c r="E63" s="10"/>
      <c r="F63" s="11" t="s">
        <v>506</v>
      </c>
      <c r="G63" s="12">
        <v>513</v>
      </c>
      <c r="H63" s="13" t="s">
        <v>537</v>
      </c>
      <c r="I63" s="14">
        <v>41528</v>
      </c>
      <c r="J63" s="14">
        <v>401769</v>
      </c>
      <c r="K63" s="15" t="s">
        <v>37</v>
      </c>
      <c r="L63" s="13" t="s">
        <v>38</v>
      </c>
      <c r="M63" s="16" t="s">
        <v>538</v>
      </c>
      <c r="N63" s="17">
        <v>1</v>
      </c>
      <c r="O63" s="17">
        <v>2</v>
      </c>
      <c r="P63" s="13" t="s">
        <v>40</v>
      </c>
      <c r="Q63" s="13" t="s">
        <v>539</v>
      </c>
      <c r="R63" s="13" t="s">
        <v>540</v>
      </c>
      <c r="S63" s="13" t="s">
        <v>541</v>
      </c>
      <c r="T63" s="13" t="s">
        <v>44</v>
      </c>
      <c r="U63" s="17">
        <v>1</v>
      </c>
      <c r="V63" s="17">
        <v>1</v>
      </c>
      <c r="W63" s="13"/>
      <c r="X63" s="27" t="s">
        <v>542</v>
      </c>
      <c r="Y63" s="13"/>
      <c r="Z63" s="13" t="s">
        <v>536</v>
      </c>
      <c r="AA63" s="13" t="s">
        <v>543</v>
      </c>
      <c r="AB63" s="18" t="s">
        <v>544</v>
      </c>
      <c r="AC63" s="13" t="s">
        <v>45</v>
      </c>
      <c r="AD63" s="17">
        <v>42.08</v>
      </c>
      <c r="AE63" s="17">
        <v>42.08</v>
      </c>
      <c r="AF63" s="20">
        <v>141</v>
      </c>
      <c r="AG63" s="22" t="b">
        <v>0</v>
      </c>
      <c r="AH63" s="23" t="str">
        <f t="shared" si="0"/>
        <v/>
      </c>
    </row>
    <row r="64" spans="1:34" ht="24" customHeight="1" x14ac:dyDescent="0.2">
      <c r="A64" s="8" t="s">
        <v>31</v>
      </c>
      <c r="B64" s="9" t="s">
        <v>545</v>
      </c>
      <c r="C64" s="10" t="s">
        <v>443</v>
      </c>
      <c r="D64" s="10" t="s">
        <v>546</v>
      </c>
      <c r="E64" s="10"/>
      <c r="F64" s="11" t="s">
        <v>506</v>
      </c>
      <c r="G64" s="12">
        <v>521</v>
      </c>
      <c r="H64" s="13" t="s">
        <v>547</v>
      </c>
      <c r="I64" s="14">
        <v>41091</v>
      </c>
      <c r="J64" s="14">
        <v>401769</v>
      </c>
      <c r="K64" s="15" t="s">
        <v>37</v>
      </c>
      <c r="L64" s="13" t="s">
        <v>38</v>
      </c>
      <c r="M64" s="16" t="s">
        <v>548</v>
      </c>
      <c r="N64" s="17">
        <v>2</v>
      </c>
      <c r="O64" s="17">
        <v>3</v>
      </c>
      <c r="P64" s="13" t="s">
        <v>40</v>
      </c>
      <c r="Q64" s="13" t="s">
        <v>42</v>
      </c>
      <c r="R64" s="13" t="s">
        <v>43</v>
      </c>
      <c r="S64" s="13" t="s">
        <v>40</v>
      </c>
      <c r="T64" s="13" t="s">
        <v>44</v>
      </c>
      <c r="U64" s="17">
        <v>1</v>
      </c>
      <c r="V64" s="17">
        <v>1</v>
      </c>
      <c r="W64" s="13"/>
      <c r="X64" s="27" t="s">
        <v>549</v>
      </c>
      <c r="Y64" s="13" t="s">
        <v>443</v>
      </c>
      <c r="Z64" s="13" t="s">
        <v>546</v>
      </c>
      <c r="AA64" s="13" t="s">
        <v>550</v>
      </c>
      <c r="AB64" s="18" t="s">
        <v>551</v>
      </c>
      <c r="AC64" s="13" t="s">
        <v>45</v>
      </c>
      <c r="AD64" s="17">
        <v>42.08</v>
      </c>
      <c r="AE64" s="17">
        <v>42.08</v>
      </c>
      <c r="AF64" s="20">
        <v>141</v>
      </c>
      <c r="AG64" s="22" t="b">
        <v>0</v>
      </c>
      <c r="AH64" s="23" t="str">
        <f t="shared" si="0"/>
        <v/>
      </c>
    </row>
    <row r="65" spans="1:34" ht="24" customHeight="1" x14ac:dyDescent="0.2">
      <c r="A65" s="8" t="s">
        <v>31</v>
      </c>
      <c r="B65" s="9" t="s">
        <v>552</v>
      </c>
      <c r="C65" s="10" t="s">
        <v>553</v>
      </c>
      <c r="D65" s="10" t="s">
        <v>554</v>
      </c>
      <c r="E65" s="10"/>
      <c r="F65" s="11" t="s">
        <v>506</v>
      </c>
      <c r="G65" s="12">
        <v>522</v>
      </c>
      <c r="H65" s="13" t="s">
        <v>113</v>
      </c>
      <c r="I65" s="14">
        <v>43556</v>
      </c>
      <c r="J65" s="14">
        <v>401769</v>
      </c>
      <c r="K65" s="15" t="s">
        <v>37</v>
      </c>
      <c r="L65" s="13" t="s">
        <v>38</v>
      </c>
      <c r="M65" s="16" t="s">
        <v>555</v>
      </c>
      <c r="N65" s="17">
        <v>2</v>
      </c>
      <c r="O65" s="17">
        <v>3</v>
      </c>
      <c r="P65" s="13" t="s">
        <v>40</v>
      </c>
      <c r="Q65" s="13" t="s">
        <v>42</v>
      </c>
      <c r="R65" s="13" t="s">
        <v>43</v>
      </c>
      <c r="S65" s="13" t="s">
        <v>40</v>
      </c>
      <c r="T65" s="13" t="s">
        <v>44</v>
      </c>
      <c r="U65" s="17">
        <v>2</v>
      </c>
      <c r="V65" s="17">
        <v>1</v>
      </c>
      <c r="W65" s="13"/>
      <c r="X65" s="27" t="s">
        <v>115</v>
      </c>
      <c r="Y65" s="13" t="s">
        <v>553</v>
      </c>
      <c r="Z65" s="13" t="s">
        <v>554</v>
      </c>
      <c r="AA65" s="13" t="s">
        <v>556</v>
      </c>
      <c r="AB65" s="18" t="s">
        <v>557</v>
      </c>
      <c r="AC65" s="13" t="s">
        <v>45</v>
      </c>
      <c r="AD65" s="17">
        <v>41.93</v>
      </c>
      <c r="AE65" s="17">
        <v>41.93</v>
      </c>
      <c r="AF65" s="20">
        <v>140</v>
      </c>
      <c r="AG65" s="22" t="b">
        <v>0</v>
      </c>
      <c r="AH65" s="23" t="str">
        <f t="shared" si="0"/>
        <v/>
      </c>
    </row>
    <row r="66" spans="1:34" ht="24" customHeight="1" x14ac:dyDescent="0.2">
      <c r="A66" s="8" t="s">
        <v>31</v>
      </c>
      <c r="B66" s="9" t="s">
        <v>558</v>
      </c>
      <c r="C66" s="10" t="s">
        <v>559</v>
      </c>
      <c r="D66" s="10" t="s">
        <v>560</v>
      </c>
      <c r="E66" s="10"/>
      <c r="F66" s="11" t="s">
        <v>506</v>
      </c>
      <c r="G66" s="12">
        <v>523</v>
      </c>
      <c r="H66" s="13" t="s">
        <v>561</v>
      </c>
      <c r="I66" s="14">
        <v>39814</v>
      </c>
      <c r="J66" s="14">
        <v>401769</v>
      </c>
      <c r="K66" s="15" t="s">
        <v>37</v>
      </c>
      <c r="L66" s="13" t="s">
        <v>38</v>
      </c>
      <c r="M66" s="16" t="s">
        <v>562</v>
      </c>
      <c r="N66" s="17">
        <v>2</v>
      </c>
      <c r="O66" s="17">
        <v>3</v>
      </c>
      <c r="P66" s="13" t="s">
        <v>40</v>
      </c>
      <c r="Q66" s="13" t="s">
        <v>563</v>
      </c>
      <c r="R66" s="13" t="s">
        <v>564</v>
      </c>
      <c r="S66" s="13" t="s">
        <v>565</v>
      </c>
      <c r="T66" s="13" t="s">
        <v>44</v>
      </c>
      <c r="U66" s="17">
        <v>3</v>
      </c>
      <c r="V66" s="17">
        <v>1</v>
      </c>
      <c r="W66" s="13"/>
      <c r="X66" s="27" t="s">
        <v>566</v>
      </c>
      <c r="Y66" s="13" t="s">
        <v>559</v>
      </c>
      <c r="Z66" s="13" t="s">
        <v>560</v>
      </c>
      <c r="AA66" s="13" t="s">
        <v>567</v>
      </c>
      <c r="AB66" s="18" t="s">
        <v>568</v>
      </c>
      <c r="AC66" s="13" t="s">
        <v>45</v>
      </c>
      <c r="AD66" s="17">
        <v>42.08</v>
      </c>
      <c r="AE66" s="17">
        <v>42.08</v>
      </c>
      <c r="AF66" s="20">
        <v>141</v>
      </c>
      <c r="AG66" s="22" t="b">
        <v>0</v>
      </c>
      <c r="AH66" s="23" t="str">
        <f t="shared" si="0"/>
        <v/>
      </c>
    </row>
    <row r="67" spans="1:34" ht="24" customHeight="1" x14ac:dyDescent="0.2">
      <c r="A67" s="8"/>
      <c r="B67" s="9" t="s">
        <v>569</v>
      </c>
      <c r="C67" s="10" t="s">
        <v>570</v>
      </c>
      <c r="D67" s="10" t="s">
        <v>571</v>
      </c>
      <c r="E67" s="10"/>
      <c r="F67" s="11" t="s">
        <v>506</v>
      </c>
      <c r="G67" s="12">
        <v>531</v>
      </c>
      <c r="H67" s="13" t="s">
        <v>572</v>
      </c>
      <c r="I67" s="14">
        <v>45901</v>
      </c>
      <c r="J67" s="14">
        <v>401769</v>
      </c>
      <c r="K67" s="15" t="s">
        <v>37</v>
      </c>
      <c r="L67" s="13" t="s">
        <v>38</v>
      </c>
      <c r="M67" s="16" t="s">
        <v>573</v>
      </c>
      <c r="N67" s="17">
        <v>3</v>
      </c>
      <c r="O67" s="17">
        <v>4</v>
      </c>
      <c r="P67" s="13" t="s">
        <v>40</v>
      </c>
      <c r="Q67" s="13" t="s">
        <v>41</v>
      </c>
      <c r="R67" s="13" t="s">
        <v>43</v>
      </c>
      <c r="S67" s="13" t="s">
        <v>52</v>
      </c>
      <c r="T67" s="13" t="s">
        <v>44</v>
      </c>
      <c r="U67" s="17">
        <v>2</v>
      </c>
      <c r="V67" s="17">
        <v>1</v>
      </c>
      <c r="W67" s="13"/>
      <c r="X67" s="27" t="s">
        <v>574</v>
      </c>
      <c r="Y67" s="13" t="s">
        <v>570</v>
      </c>
      <c r="Z67" s="13" t="s">
        <v>571</v>
      </c>
      <c r="AA67" s="13"/>
      <c r="AB67" s="18"/>
      <c r="AC67" s="13" t="s">
        <v>45</v>
      </c>
      <c r="AD67" s="17">
        <v>42.08</v>
      </c>
      <c r="AE67" s="17">
        <v>42.08</v>
      </c>
      <c r="AF67" s="20">
        <v>141</v>
      </c>
      <c r="AG67" s="22" t="b">
        <v>0</v>
      </c>
      <c r="AH67" s="23" t="str">
        <f t="shared" si="0"/>
        <v/>
      </c>
    </row>
    <row r="68" spans="1:34" ht="24" customHeight="1" x14ac:dyDescent="0.2">
      <c r="A68" s="8" t="s">
        <v>31</v>
      </c>
      <c r="B68" s="9" t="s">
        <v>575</v>
      </c>
      <c r="C68" s="10" t="s">
        <v>576</v>
      </c>
      <c r="D68" s="10" t="s">
        <v>577</v>
      </c>
      <c r="E68" s="10"/>
      <c r="F68" s="11" t="s">
        <v>506</v>
      </c>
      <c r="G68" s="12">
        <v>532</v>
      </c>
      <c r="H68" s="13" t="s">
        <v>578</v>
      </c>
      <c r="I68" s="14">
        <v>39814</v>
      </c>
      <c r="J68" s="14">
        <v>401769</v>
      </c>
      <c r="K68" s="15" t="s">
        <v>37</v>
      </c>
      <c r="L68" s="13" t="s">
        <v>38</v>
      </c>
      <c r="M68" s="16" t="s">
        <v>579</v>
      </c>
      <c r="N68" s="17">
        <v>3</v>
      </c>
      <c r="O68" s="17">
        <v>4</v>
      </c>
      <c r="P68" s="13" t="s">
        <v>40</v>
      </c>
      <c r="Q68" s="13" t="s">
        <v>42</v>
      </c>
      <c r="R68" s="13" t="s">
        <v>43</v>
      </c>
      <c r="S68" s="13" t="s">
        <v>40</v>
      </c>
      <c r="T68" s="13" t="s">
        <v>44</v>
      </c>
      <c r="U68" s="17">
        <v>2</v>
      </c>
      <c r="V68" s="17">
        <v>1</v>
      </c>
      <c r="W68" s="13"/>
      <c r="X68" s="27" t="s">
        <v>580</v>
      </c>
      <c r="Y68" s="13" t="s">
        <v>576</v>
      </c>
      <c r="Z68" s="13" t="s">
        <v>577</v>
      </c>
      <c r="AA68" s="13" t="s">
        <v>581</v>
      </c>
      <c r="AB68" s="18" t="s">
        <v>582</v>
      </c>
      <c r="AC68" s="13" t="s">
        <v>45</v>
      </c>
      <c r="AD68" s="17">
        <v>41.93</v>
      </c>
      <c r="AE68" s="17">
        <v>41.93</v>
      </c>
      <c r="AF68" s="20">
        <v>140</v>
      </c>
      <c r="AG68" s="22" t="b">
        <v>0</v>
      </c>
      <c r="AH68" s="23" t="str">
        <f t="shared" ref="AH68:AH72" si="1">IF(AG68=TRUE,AF68,"")</f>
        <v/>
      </c>
    </row>
    <row r="69" spans="1:34" ht="24" customHeight="1" x14ac:dyDescent="0.2">
      <c r="A69" s="8" t="s">
        <v>31</v>
      </c>
      <c r="B69" s="9" t="s">
        <v>583</v>
      </c>
      <c r="C69" s="10" t="s">
        <v>584</v>
      </c>
      <c r="D69" s="10" t="s">
        <v>585</v>
      </c>
      <c r="E69" s="10"/>
      <c r="F69" s="11" t="s">
        <v>506</v>
      </c>
      <c r="G69" s="12">
        <v>533</v>
      </c>
      <c r="H69" s="13" t="s">
        <v>586</v>
      </c>
      <c r="I69" s="14">
        <v>42491</v>
      </c>
      <c r="J69" s="14">
        <v>401769</v>
      </c>
      <c r="K69" s="15" t="s">
        <v>37</v>
      </c>
      <c r="L69" s="13" t="s">
        <v>38</v>
      </c>
      <c r="M69" s="16" t="s">
        <v>587</v>
      </c>
      <c r="N69" s="17">
        <v>3</v>
      </c>
      <c r="O69" s="17">
        <v>4</v>
      </c>
      <c r="P69" s="13" t="s">
        <v>40</v>
      </c>
      <c r="Q69" s="13" t="s">
        <v>588</v>
      </c>
      <c r="R69" s="13" t="s">
        <v>43</v>
      </c>
      <c r="S69" s="13" t="s">
        <v>40</v>
      </c>
      <c r="T69" s="13" t="s">
        <v>44</v>
      </c>
      <c r="U69" s="17">
        <v>2</v>
      </c>
      <c r="V69" s="17">
        <v>1</v>
      </c>
      <c r="W69" s="13"/>
      <c r="X69" s="27" t="s">
        <v>589</v>
      </c>
      <c r="Y69" s="13" t="s">
        <v>584</v>
      </c>
      <c r="Z69" s="13" t="s">
        <v>585</v>
      </c>
      <c r="AA69" s="13" t="s">
        <v>590</v>
      </c>
      <c r="AB69" s="18" t="s">
        <v>591</v>
      </c>
      <c r="AC69" s="13" t="s">
        <v>45</v>
      </c>
      <c r="AD69" s="17">
        <v>42.08</v>
      </c>
      <c r="AE69" s="17">
        <v>42.08</v>
      </c>
      <c r="AF69" s="20">
        <v>141</v>
      </c>
      <c r="AG69" s="22" t="b">
        <v>0</v>
      </c>
      <c r="AH69" s="23" t="str">
        <f t="shared" si="1"/>
        <v/>
      </c>
    </row>
    <row r="70" spans="1:34" ht="24" customHeight="1" x14ac:dyDescent="0.2">
      <c r="A70" s="8" t="s">
        <v>31</v>
      </c>
      <c r="B70" s="9" t="s">
        <v>592</v>
      </c>
      <c r="C70" s="10" t="s">
        <v>185</v>
      </c>
      <c r="D70" s="10" t="s">
        <v>593</v>
      </c>
      <c r="E70" s="10"/>
      <c r="F70" s="11" t="s">
        <v>506</v>
      </c>
      <c r="G70" s="12">
        <v>541</v>
      </c>
      <c r="H70" s="13" t="s">
        <v>594</v>
      </c>
      <c r="I70" s="14">
        <v>39814</v>
      </c>
      <c r="J70" s="14">
        <v>401769</v>
      </c>
      <c r="K70" s="15" t="s">
        <v>37</v>
      </c>
      <c r="L70" s="13" t="s">
        <v>38</v>
      </c>
      <c r="M70" s="16" t="s">
        <v>595</v>
      </c>
      <c r="N70" s="17">
        <v>4</v>
      </c>
      <c r="O70" s="17">
        <v>5</v>
      </c>
      <c r="P70" s="13" t="s">
        <v>40</v>
      </c>
      <c r="Q70" s="13" t="s">
        <v>596</v>
      </c>
      <c r="R70" s="13" t="s">
        <v>597</v>
      </c>
      <c r="S70" s="13" t="s">
        <v>598</v>
      </c>
      <c r="T70" s="13" t="s">
        <v>44</v>
      </c>
      <c r="U70" s="17">
        <v>2</v>
      </c>
      <c r="V70" s="17">
        <v>1</v>
      </c>
      <c r="W70" s="13"/>
      <c r="X70" s="27" t="s">
        <v>599</v>
      </c>
      <c r="Y70" s="13" t="s">
        <v>185</v>
      </c>
      <c r="Z70" s="13" t="s">
        <v>593</v>
      </c>
      <c r="AA70" s="13" t="s">
        <v>600</v>
      </c>
      <c r="AB70" s="18" t="s">
        <v>601</v>
      </c>
      <c r="AC70" s="13" t="s">
        <v>45</v>
      </c>
      <c r="AD70" s="17">
        <v>42.08</v>
      </c>
      <c r="AE70" s="17">
        <v>42.08</v>
      </c>
      <c r="AF70" s="20">
        <v>141</v>
      </c>
      <c r="AG70" s="22" t="b">
        <v>0</v>
      </c>
      <c r="AH70" s="23" t="str">
        <f t="shared" si="1"/>
        <v/>
      </c>
    </row>
    <row r="71" spans="1:34" ht="24" customHeight="1" x14ac:dyDescent="0.2">
      <c r="A71" s="8" t="s">
        <v>31</v>
      </c>
      <c r="B71" s="9" t="s">
        <v>602</v>
      </c>
      <c r="C71" s="10" t="s">
        <v>436</v>
      </c>
      <c r="D71" s="10" t="s">
        <v>603</v>
      </c>
      <c r="E71" s="10"/>
      <c r="F71" s="11" t="s">
        <v>506</v>
      </c>
      <c r="G71" s="12">
        <v>542</v>
      </c>
      <c r="H71" s="13" t="s">
        <v>604</v>
      </c>
      <c r="I71" s="14">
        <v>45717</v>
      </c>
      <c r="J71" s="14">
        <v>401769</v>
      </c>
      <c r="K71" s="15" t="s">
        <v>37</v>
      </c>
      <c r="L71" s="13" t="s">
        <v>38</v>
      </c>
      <c r="M71" s="16" t="s">
        <v>605</v>
      </c>
      <c r="N71" s="17">
        <v>4</v>
      </c>
      <c r="O71" s="17">
        <v>5</v>
      </c>
      <c r="P71" s="13" t="s">
        <v>40</v>
      </c>
      <c r="Q71" s="13" t="s">
        <v>606</v>
      </c>
      <c r="R71" s="13" t="s">
        <v>607</v>
      </c>
      <c r="S71" s="13" t="s">
        <v>608</v>
      </c>
      <c r="T71" s="13" t="s">
        <v>44</v>
      </c>
      <c r="U71" s="17">
        <v>2</v>
      </c>
      <c r="V71" s="17">
        <v>1</v>
      </c>
      <c r="W71" s="13"/>
      <c r="X71" s="27" t="s">
        <v>609</v>
      </c>
      <c r="Y71" s="13" t="s">
        <v>436</v>
      </c>
      <c r="Z71" s="13" t="s">
        <v>603</v>
      </c>
      <c r="AA71" s="13"/>
      <c r="AB71" s="18"/>
      <c r="AC71" s="13" t="s">
        <v>45</v>
      </c>
      <c r="AD71" s="17">
        <v>41.93</v>
      </c>
      <c r="AE71" s="17">
        <v>41.93</v>
      </c>
      <c r="AF71" s="20">
        <v>140</v>
      </c>
      <c r="AG71" s="22" t="b">
        <v>0</v>
      </c>
      <c r="AH71" s="23" t="str">
        <f t="shared" si="1"/>
        <v/>
      </c>
    </row>
    <row r="72" spans="1:34" ht="24" customHeight="1" x14ac:dyDescent="0.2">
      <c r="A72" s="8" t="s">
        <v>31</v>
      </c>
      <c r="B72" s="9" t="s">
        <v>610</v>
      </c>
      <c r="C72" s="10" t="s">
        <v>611</v>
      </c>
      <c r="D72" s="10" t="s">
        <v>612</v>
      </c>
      <c r="E72" s="10"/>
      <c r="F72" s="11" t="s">
        <v>506</v>
      </c>
      <c r="G72" s="12">
        <v>543</v>
      </c>
      <c r="H72" s="13" t="s">
        <v>613</v>
      </c>
      <c r="I72" s="14">
        <v>44044</v>
      </c>
      <c r="J72" s="14">
        <v>401769</v>
      </c>
      <c r="K72" s="15" t="s">
        <v>37</v>
      </c>
      <c r="L72" s="13" t="s">
        <v>38</v>
      </c>
      <c r="M72" s="16" t="s">
        <v>614</v>
      </c>
      <c r="N72" s="17">
        <v>4</v>
      </c>
      <c r="O72" s="17">
        <v>5</v>
      </c>
      <c r="P72" s="13" t="s">
        <v>40</v>
      </c>
      <c r="Q72" s="13" t="s">
        <v>506</v>
      </c>
      <c r="R72" s="13" t="s">
        <v>43</v>
      </c>
      <c r="S72" s="13" t="s">
        <v>52</v>
      </c>
      <c r="T72" s="13" t="s">
        <v>44</v>
      </c>
      <c r="U72" s="17">
        <v>1</v>
      </c>
      <c r="V72" s="17">
        <v>1</v>
      </c>
      <c r="W72" s="13"/>
      <c r="X72" s="27" t="s">
        <v>615</v>
      </c>
      <c r="Y72" s="13" t="s">
        <v>611</v>
      </c>
      <c r="Z72" s="13" t="s">
        <v>612</v>
      </c>
      <c r="AA72" s="13" t="s">
        <v>616</v>
      </c>
      <c r="AB72" s="18" t="s">
        <v>617</v>
      </c>
      <c r="AC72" s="13" t="s">
        <v>45</v>
      </c>
      <c r="AD72" s="17">
        <v>42.08</v>
      </c>
      <c r="AE72" s="17">
        <v>42.08</v>
      </c>
      <c r="AF72" s="20">
        <v>141</v>
      </c>
      <c r="AG72" s="22" t="b">
        <v>0</v>
      </c>
      <c r="AH72" s="23" t="str">
        <f t="shared" si="1"/>
        <v/>
      </c>
    </row>
  </sheetData>
  <autoFilter ref="B2:AG72" xr:uid="{00000000-0001-0000-0000-00000000000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</dc:creator>
  <cp:lastModifiedBy>Radek Pekárek</cp:lastModifiedBy>
  <dcterms:created xsi:type="dcterms:W3CDTF">2026-04-10T07:21:19Z</dcterms:created>
  <dcterms:modified xsi:type="dcterms:W3CDTF">2026-04-10T07:21:19Z</dcterms:modified>
</cp:coreProperties>
</file>